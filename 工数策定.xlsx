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azu/Library/CloudStorage/GoogleDrive-khgfp840@gmail.com/マイドライブ/ドキュメント/EY資料/"/>
    </mc:Choice>
  </mc:AlternateContent>
  <xr:revisionPtr revIDLastSave="0" documentId="13_ncr:1_{ACF6571E-CF71-5F41-95B9-E4DC0CDE4417}" xr6:coauthVersionLast="47" xr6:coauthVersionMax="47" xr10:uidLastSave="{00000000-0000-0000-0000-000000000000}"/>
  <bookViews>
    <workbookView xWindow="0" yWindow="660" windowWidth="30240" windowHeight="18980" activeTab="7" xr2:uid="{AFD7770B-7EA9-F546-8EE2-58C0D26001A6}"/>
  </bookViews>
  <sheets>
    <sheet name="old1前年変更タスク一覧" sheetId="4" state="hidden" r:id="rId1"/>
    <sheet name="全タスク集計" sheetId="11" r:id="rId2"/>
    <sheet name="前期差分集計" sheetId="7" r:id="rId3"/>
    <sheet name="月別集計" sheetId="13" r:id="rId4"/>
    <sheet name="個人別集計" sheetId="14" r:id="rId5"/>
    <sheet name="前年変更タスク(lambda)" sheetId="9" state="hidden" r:id="rId6"/>
    <sheet name="担当分担表集計" sheetId="15" r:id="rId7"/>
    <sheet name="FY27工数" sheetId="1" r:id="rId8"/>
    <sheet name="FY26工数" sheetId="2" r:id="rId9"/>
  </sheets>
  <calcPr calcId="191029"/>
  <pivotCaches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F36" i="1"/>
  <c r="I35" i="1"/>
  <c r="F35" i="1"/>
  <c r="I89" i="1"/>
  <c r="F89" i="1"/>
  <c r="I88" i="1"/>
  <c r="F88" i="1"/>
  <c r="I87" i="1"/>
  <c r="F87" i="1"/>
  <c r="J87" i="1" s="1"/>
  <c r="I86" i="1"/>
  <c r="F86" i="1"/>
  <c r="J86" i="1" s="1"/>
  <c r="I85" i="1"/>
  <c r="F85" i="1"/>
  <c r="J85" i="1" s="1"/>
  <c r="I84" i="1"/>
  <c r="F84" i="1"/>
  <c r="J84" i="1" s="1"/>
  <c r="I83" i="1"/>
  <c r="F83" i="1"/>
  <c r="J83" i="1" s="1"/>
  <c r="I82" i="1"/>
  <c r="F82" i="1"/>
  <c r="J82" i="1" s="1"/>
  <c r="F81" i="1"/>
  <c r="J81" i="1" s="1"/>
  <c r="I81" i="1"/>
  <c r="F80" i="1"/>
  <c r="J80" i="1" s="1"/>
  <c r="I80" i="1"/>
  <c r="F2" i="1"/>
  <c r="J2" i="1" s="1"/>
  <c r="F3" i="1"/>
  <c r="F4" i="1"/>
  <c r="F5" i="1"/>
  <c r="J5" i="1" s="1"/>
  <c r="F6" i="1"/>
  <c r="F7" i="1"/>
  <c r="F8" i="1"/>
  <c r="J8" i="1" s="1"/>
  <c r="F9" i="1"/>
  <c r="J9" i="1" s="1"/>
  <c r="F10" i="1"/>
  <c r="J10" i="1" s="1"/>
  <c r="F11" i="1"/>
  <c r="J11" i="1" s="1"/>
  <c r="F12" i="1"/>
  <c r="F13" i="1"/>
  <c r="J13" i="1" s="1"/>
  <c r="F14" i="1"/>
  <c r="J14" i="1" s="1"/>
  <c r="F15" i="1"/>
  <c r="J15" i="1" s="1"/>
  <c r="F16" i="1"/>
  <c r="J16" i="1" s="1"/>
  <c r="F17" i="1"/>
  <c r="J17" i="1" s="1"/>
  <c r="F18" i="1"/>
  <c r="J18" i="1" s="1"/>
  <c r="F19" i="1"/>
  <c r="J19" i="1" s="1"/>
  <c r="F20" i="1"/>
  <c r="J20" i="1" s="1"/>
  <c r="F21" i="1"/>
  <c r="J21" i="1" s="1"/>
  <c r="F22" i="1"/>
  <c r="J22" i="1" s="1"/>
  <c r="F23" i="1"/>
  <c r="J23" i="1" s="1"/>
  <c r="F24" i="1"/>
  <c r="J24" i="1" s="1"/>
  <c r="F25" i="1"/>
  <c r="J25" i="1" s="1"/>
  <c r="F26" i="1"/>
  <c r="F27" i="1"/>
  <c r="J27" i="1" s="1"/>
  <c r="F28" i="1"/>
  <c r="J28" i="1" s="1"/>
  <c r="F29" i="1"/>
  <c r="J29" i="1" s="1"/>
  <c r="F30" i="1"/>
  <c r="J30" i="1" s="1"/>
  <c r="F31" i="1"/>
  <c r="J31" i="1" s="1"/>
  <c r="F32" i="1"/>
  <c r="J32" i="1" s="1"/>
  <c r="F33" i="1"/>
  <c r="J33" i="1" s="1"/>
  <c r="F34" i="1"/>
  <c r="J34" i="1" s="1"/>
  <c r="F37" i="1"/>
  <c r="J37" i="1" s="1"/>
  <c r="F38" i="1"/>
  <c r="F39" i="1"/>
  <c r="J39" i="1" s="1"/>
  <c r="F40" i="1"/>
  <c r="J40" i="1" s="1"/>
  <c r="F41" i="1"/>
  <c r="J41" i="1" s="1"/>
  <c r="F42" i="1"/>
  <c r="J42" i="1" s="1"/>
  <c r="F43" i="1"/>
  <c r="J43" i="1" s="1"/>
  <c r="F44" i="1"/>
  <c r="J44" i="1" s="1"/>
  <c r="F45" i="1"/>
  <c r="J45" i="1" s="1"/>
  <c r="F46" i="1"/>
  <c r="J46" i="1" s="1"/>
  <c r="F47" i="1"/>
  <c r="J47" i="1" s="1"/>
  <c r="F48" i="1"/>
  <c r="J48" i="1" s="1"/>
  <c r="F49" i="1"/>
  <c r="J49" i="1" s="1"/>
  <c r="F50" i="1"/>
  <c r="J50" i="1" s="1"/>
  <c r="F51" i="1"/>
  <c r="J51" i="1" s="1"/>
  <c r="F52" i="1"/>
  <c r="J52" i="1" s="1"/>
  <c r="F53" i="1"/>
  <c r="J53" i="1" s="1"/>
  <c r="F54" i="1"/>
  <c r="J54" i="1" s="1"/>
  <c r="F55" i="1"/>
  <c r="J55" i="1" s="1"/>
  <c r="F56" i="1"/>
  <c r="F57" i="1"/>
  <c r="J57" i="1" s="1"/>
  <c r="F58" i="1"/>
  <c r="J58" i="1" s="1"/>
  <c r="F59" i="1"/>
  <c r="J59" i="1" s="1"/>
  <c r="F60" i="1"/>
  <c r="J60" i="1" s="1"/>
  <c r="F61" i="1"/>
  <c r="J61" i="1" s="1"/>
  <c r="F62" i="1"/>
  <c r="F63" i="1"/>
  <c r="J63" i="1" s="1"/>
  <c r="F64" i="1"/>
  <c r="J64" i="1" s="1"/>
  <c r="F65" i="1"/>
  <c r="J65" i="1" s="1"/>
  <c r="F66" i="1"/>
  <c r="F67" i="1"/>
  <c r="J67" i="1" s="1"/>
  <c r="F68" i="1"/>
  <c r="J68" i="1" s="1"/>
  <c r="F69" i="1"/>
  <c r="J69" i="1" s="1"/>
  <c r="F70" i="1"/>
  <c r="J70" i="1" s="1"/>
  <c r="F71" i="1"/>
  <c r="J71" i="1" s="1"/>
  <c r="F72" i="1"/>
  <c r="J72" i="1" s="1"/>
  <c r="F73" i="1"/>
  <c r="J73" i="1" s="1"/>
  <c r="F74" i="1"/>
  <c r="J74" i="1" s="1"/>
  <c r="F75" i="1"/>
  <c r="J75" i="1" s="1"/>
  <c r="F76" i="1"/>
  <c r="F77" i="1"/>
  <c r="J77" i="1" s="1"/>
  <c r="F78" i="1"/>
  <c r="J78" i="1" s="1"/>
  <c r="F79" i="1"/>
  <c r="J79" i="1" s="1"/>
  <c r="F90" i="1"/>
  <c r="J90" i="1" s="1"/>
  <c r="F91" i="1"/>
  <c r="J91" i="1" s="1"/>
  <c r="F92" i="1"/>
  <c r="J92" i="1" s="1"/>
  <c r="F93" i="1"/>
  <c r="J93" i="1" s="1"/>
  <c r="F94" i="1"/>
  <c r="F95" i="1"/>
  <c r="J95" i="1" s="1"/>
  <c r="F96" i="1"/>
  <c r="J96" i="1" s="1"/>
  <c r="F97" i="1"/>
  <c r="J97" i="1" s="1"/>
  <c r="F98" i="1"/>
  <c r="J98" i="1" s="1"/>
  <c r="F99" i="1"/>
  <c r="J99" i="1" s="1"/>
  <c r="F100" i="1"/>
  <c r="J100" i="1" s="1"/>
  <c r="F101" i="1"/>
  <c r="J101" i="1" s="1"/>
  <c r="F102" i="1"/>
  <c r="J102" i="1" s="1"/>
  <c r="F103" i="1"/>
  <c r="J103" i="1" s="1"/>
  <c r="F104" i="1"/>
  <c r="F105" i="1"/>
  <c r="J105" i="1" s="1"/>
  <c r="F106" i="1"/>
  <c r="J106" i="1" s="1"/>
  <c r="F107" i="1"/>
  <c r="J107" i="1" s="1"/>
  <c r="F108" i="1"/>
  <c r="J108" i="1" s="1"/>
  <c r="F109" i="1"/>
  <c r="J109" i="1" s="1"/>
  <c r="F110" i="1"/>
  <c r="J110" i="1" s="1"/>
  <c r="F111" i="1"/>
  <c r="J111" i="1" s="1"/>
  <c r="F112" i="1"/>
  <c r="J112" i="1" s="1"/>
  <c r="F113" i="1"/>
  <c r="F114" i="1"/>
  <c r="J114" i="1" s="1"/>
  <c r="F115" i="1"/>
  <c r="J115" i="1" s="1"/>
  <c r="F116" i="1"/>
  <c r="J116" i="1" s="1"/>
  <c r="F117" i="1"/>
  <c r="J117" i="1" s="1"/>
  <c r="F118" i="1"/>
  <c r="J118" i="1" s="1"/>
  <c r="F119" i="1"/>
  <c r="J119" i="1" s="1"/>
  <c r="F120" i="1"/>
  <c r="J120" i="1" s="1"/>
  <c r="F121" i="1"/>
  <c r="J121" i="1" s="1"/>
  <c r="F122" i="1"/>
  <c r="J122" i="1" s="1"/>
  <c r="F123" i="1"/>
  <c r="J123" i="1" s="1"/>
  <c r="F124" i="1"/>
  <c r="J124" i="1" s="1"/>
  <c r="F125" i="1"/>
  <c r="J125" i="1" s="1"/>
  <c r="F126" i="1"/>
  <c r="F127" i="1"/>
  <c r="J127" i="1" s="1"/>
  <c r="F128" i="1"/>
  <c r="J128" i="1" s="1"/>
  <c r="F129" i="1"/>
  <c r="J129" i="1" s="1"/>
  <c r="F130" i="1"/>
  <c r="J130" i="1" s="1"/>
  <c r="F131" i="1"/>
  <c r="J131" i="1" s="1"/>
  <c r="F132" i="1"/>
  <c r="J132" i="1" s="1"/>
  <c r="F133" i="1"/>
  <c r="J133" i="1" s="1"/>
  <c r="F134" i="1"/>
  <c r="J134" i="1" s="1"/>
  <c r="F135" i="1"/>
  <c r="J135" i="1" s="1"/>
  <c r="F136" i="1"/>
  <c r="F137" i="1"/>
  <c r="J137" i="1" s="1"/>
  <c r="F138" i="1"/>
  <c r="J138" i="1" s="1"/>
  <c r="F139" i="1"/>
  <c r="J139" i="1" s="1"/>
  <c r="F140" i="1"/>
  <c r="J140" i="1" s="1"/>
  <c r="F141" i="1"/>
  <c r="J141" i="1" s="1"/>
  <c r="F142" i="1"/>
  <c r="J142" i="1" s="1"/>
  <c r="F143" i="1"/>
  <c r="F144" i="1"/>
  <c r="F145" i="1"/>
  <c r="J145" i="1" s="1"/>
  <c r="F146" i="1"/>
  <c r="F147" i="1"/>
  <c r="J147" i="1" s="1"/>
  <c r="F148" i="1"/>
  <c r="J148" i="1" s="1"/>
  <c r="F149" i="1"/>
  <c r="J149" i="1" s="1"/>
  <c r="F150" i="1"/>
  <c r="J150" i="1" s="1"/>
  <c r="F151" i="1"/>
  <c r="J151" i="1" s="1"/>
  <c r="F152" i="1"/>
  <c r="J152" i="1" s="1"/>
  <c r="F153" i="1"/>
  <c r="J153" i="1" s="1"/>
  <c r="F154" i="1"/>
  <c r="J154" i="1" s="1"/>
  <c r="F155" i="1"/>
  <c r="J155" i="1" s="1"/>
  <c r="F156" i="1"/>
  <c r="J156" i="1" s="1"/>
  <c r="F157" i="1"/>
  <c r="J157" i="1" s="1"/>
  <c r="F158" i="1"/>
  <c r="J158" i="1" s="1"/>
  <c r="F159" i="1"/>
  <c r="J159" i="1" s="1"/>
  <c r="F160" i="1"/>
  <c r="J160" i="1" s="1"/>
  <c r="F161" i="1"/>
  <c r="J161" i="1" s="1"/>
  <c r="F162" i="1"/>
  <c r="J162" i="1" s="1"/>
  <c r="F163" i="1"/>
  <c r="J163" i="1" s="1"/>
  <c r="F164" i="1"/>
  <c r="J164" i="1" s="1"/>
  <c r="F165" i="1"/>
  <c r="J165" i="1" s="1"/>
  <c r="F166" i="1"/>
  <c r="F167" i="1"/>
  <c r="J167" i="1" s="1"/>
  <c r="F168" i="1"/>
  <c r="J168" i="1" s="1"/>
  <c r="F169" i="1"/>
  <c r="J169" i="1" s="1"/>
  <c r="F170" i="1"/>
  <c r="J170" i="1" s="1"/>
  <c r="F171" i="1"/>
  <c r="J171" i="1" s="1"/>
  <c r="F172" i="1"/>
  <c r="J172" i="1" s="1"/>
  <c r="F173" i="1"/>
  <c r="J173" i="1" s="1"/>
  <c r="F174" i="1"/>
  <c r="J174" i="1" s="1"/>
  <c r="F175" i="1"/>
  <c r="J175" i="1" s="1"/>
  <c r="F176" i="1"/>
  <c r="J176" i="1" s="1"/>
  <c r="F177" i="1"/>
  <c r="J177" i="1" s="1"/>
  <c r="J3" i="1"/>
  <c r="J4" i="1"/>
  <c r="J6" i="1"/>
  <c r="J7" i="1"/>
  <c r="J12" i="1"/>
  <c r="J26" i="1"/>
  <c r="J38" i="1"/>
  <c r="J56" i="1"/>
  <c r="J62" i="1"/>
  <c r="J66" i="1"/>
  <c r="J76" i="1"/>
  <c r="J94" i="1"/>
  <c r="J104" i="1"/>
  <c r="J113" i="1"/>
  <c r="J126" i="1"/>
  <c r="J136" i="1"/>
  <c r="J144" i="1"/>
  <c r="J146" i="1"/>
  <c r="J166" i="1"/>
  <c r="I2" i="1"/>
  <c r="A1" i="14" s="1" a="1"/>
  <c r="A1" i="14" s="1"/>
  <c r="I3" i="1"/>
  <c r="L3" i="1" s="1"/>
  <c r="I4" i="1"/>
  <c r="I5" i="1"/>
  <c r="K5" i="1" s="1"/>
  <c r="I6" i="1"/>
  <c r="I7" i="1"/>
  <c r="I8" i="1"/>
  <c r="I9" i="1"/>
  <c r="I10" i="1"/>
  <c r="I11" i="1"/>
  <c r="L11" i="1" s="1"/>
  <c r="I12" i="1"/>
  <c r="I13" i="1"/>
  <c r="L13" i="1" s="1"/>
  <c r="I14" i="1"/>
  <c r="L14" i="1" s="1"/>
  <c r="I15" i="1"/>
  <c r="K15" i="1" s="1"/>
  <c r="I16" i="1"/>
  <c r="K16" i="1" s="1"/>
  <c r="I17" i="1"/>
  <c r="I18" i="1"/>
  <c r="I19" i="1"/>
  <c r="I20" i="1"/>
  <c r="I21" i="1"/>
  <c r="L21" i="1" s="1"/>
  <c r="I22" i="1"/>
  <c r="I23" i="1"/>
  <c r="L23" i="1" s="1"/>
  <c r="I24" i="1"/>
  <c r="L24" i="1" s="1"/>
  <c r="I25" i="1"/>
  <c r="I26" i="1"/>
  <c r="I27" i="1"/>
  <c r="I28" i="1"/>
  <c r="I29" i="1"/>
  <c r="I30" i="1"/>
  <c r="I31" i="1"/>
  <c r="L31" i="1" s="1"/>
  <c r="I32" i="1"/>
  <c r="L32" i="1" s="1"/>
  <c r="I33" i="1"/>
  <c r="I34" i="1"/>
  <c r="I37" i="1"/>
  <c r="L37" i="1" s="1"/>
  <c r="I38" i="1"/>
  <c r="I39" i="1"/>
  <c r="I40" i="1"/>
  <c r="I41" i="1"/>
  <c r="I42" i="1"/>
  <c r="I43" i="1"/>
  <c r="L43" i="1" s="1"/>
  <c r="I44" i="1"/>
  <c r="I45" i="1"/>
  <c r="L45" i="1" s="1"/>
  <c r="I46" i="1"/>
  <c r="K46" i="1" s="1"/>
  <c r="I47" i="1"/>
  <c r="I48" i="1"/>
  <c r="I49" i="1"/>
  <c r="I50" i="1"/>
  <c r="I51" i="1"/>
  <c r="I52" i="1"/>
  <c r="I53" i="1"/>
  <c r="L53" i="1" s="1"/>
  <c r="I54" i="1"/>
  <c r="L54" i="1" s="1"/>
  <c r="I55" i="1"/>
  <c r="I56" i="1"/>
  <c r="I57" i="1"/>
  <c r="I58" i="1"/>
  <c r="I59" i="1"/>
  <c r="I60" i="1"/>
  <c r="I61" i="1"/>
  <c r="I62" i="1"/>
  <c r="I63" i="1"/>
  <c r="L63" i="1" s="1"/>
  <c r="I64" i="1"/>
  <c r="L64" i="1" s="1"/>
  <c r="I65" i="1"/>
  <c r="I66" i="1"/>
  <c r="I67" i="1"/>
  <c r="I68" i="1"/>
  <c r="I69" i="1"/>
  <c r="I70" i="1"/>
  <c r="I71" i="1"/>
  <c r="I72" i="1"/>
  <c r="I73" i="1"/>
  <c r="L73" i="1" s="1"/>
  <c r="I74" i="1"/>
  <c r="L74" i="1" s="1"/>
  <c r="I75" i="1"/>
  <c r="I76" i="1"/>
  <c r="I77" i="1"/>
  <c r="I78" i="1"/>
  <c r="I79" i="1"/>
  <c r="I90" i="1"/>
  <c r="I91" i="1"/>
  <c r="I92" i="1"/>
  <c r="I93" i="1"/>
  <c r="L93" i="1" s="1"/>
  <c r="I94" i="1"/>
  <c r="I95" i="1"/>
  <c r="I96" i="1"/>
  <c r="L96" i="1" s="1"/>
  <c r="I97" i="1"/>
  <c r="I98" i="1"/>
  <c r="I99" i="1"/>
  <c r="I100" i="1"/>
  <c r="I101" i="1"/>
  <c r="I102" i="1"/>
  <c r="I103" i="1"/>
  <c r="K103" i="1" s="1"/>
  <c r="I104" i="1"/>
  <c r="I105" i="1"/>
  <c r="I106" i="1"/>
  <c r="L106" i="1" s="1"/>
  <c r="I107" i="1"/>
  <c r="I108" i="1"/>
  <c r="I109" i="1"/>
  <c r="I110" i="1"/>
  <c r="I111" i="1"/>
  <c r="I112" i="1"/>
  <c r="I113" i="1"/>
  <c r="I114" i="1"/>
  <c r="L114" i="1" s="1"/>
  <c r="I115" i="1"/>
  <c r="I116" i="1"/>
  <c r="I117" i="1"/>
  <c r="I118" i="1"/>
  <c r="I119" i="1"/>
  <c r="I120" i="1"/>
  <c r="I121" i="1"/>
  <c r="I122" i="1"/>
  <c r="I123" i="1"/>
  <c r="L123" i="1" s="1"/>
  <c r="I124" i="1"/>
  <c r="L124" i="1" s="1"/>
  <c r="I125" i="1"/>
  <c r="I126" i="1"/>
  <c r="I127" i="1"/>
  <c r="I128" i="1"/>
  <c r="I129" i="1"/>
  <c r="I130" i="1"/>
  <c r="I131" i="1"/>
  <c r="I132" i="1"/>
  <c r="I133" i="1"/>
  <c r="L133" i="1" s="1"/>
  <c r="I134" i="1"/>
  <c r="L134" i="1" s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L153" i="1" s="1"/>
  <c r="I154" i="1"/>
  <c r="L154" i="1" s="1"/>
  <c r="I155" i="1"/>
  <c r="I156" i="1"/>
  <c r="L156" i="1" s="1"/>
  <c r="I157" i="1"/>
  <c r="I158" i="1"/>
  <c r="I159" i="1"/>
  <c r="I160" i="1"/>
  <c r="I161" i="1"/>
  <c r="I162" i="1"/>
  <c r="I163" i="1"/>
  <c r="L163" i="1" s="1"/>
  <c r="I164" i="1"/>
  <c r="I165" i="1"/>
  <c r="I166" i="1"/>
  <c r="I167" i="1"/>
  <c r="I168" i="1"/>
  <c r="I169" i="1"/>
  <c r="I170" i="1"/>
  <c r="I171" i="1"/>
  <c r="I172" i="1"/>
  <c r="I173" i="1"/>
  <c r="L173" i="1" s="1"/>
  <c r="I174" i="1"/>
  <c r="L174" i="1" s="1"/>
  <c r="I175" i="1"/>
  <c r="I176" i="1"/>
  <c r="L176" i="1" s="1"/>
  <c r="I177" i="1"/>
  <c r="A1" i="15" a="1"/>
  <c r="A1" i="15" s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3" i="2"/>
  <c r="F2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2" i="2"/>
  <c r="L61" i="1" l="1"/>
  <c r="L51" i="1"/>
  <c r="L34" i="1"/>
  <c r="L104" i="1"/>
  <c r="J36" i="1"/>
  <c r="K36" i="1" s="1"/>
  <c r="J35" i="1"/>
  <c r="L35" i="1" s="1"/>
  <c r="L113" i="1"/>
  <c r="L80" i="1"/>
  <c r="J89" i="1"/>
  <c r="K89" i="1" s="1"/>
  <c r="L127" i="1"/>
  <c r="L117" i="1"/>
  <c r="L107" i="1"/>
  <c r="L67" i="1"/>
  <c r="L57" i="1"/>
  <c r="L47" i="1"/>
  <c r="L39" i="1"/>
  <c r="L17" i="1"/>
  <c r="K65" i="1"/>
  <c r="K55" i="1"/>
  <c r="L146" i="1"/>
  <c r="K76" i="1"/>
  <c r="K66" i="1"/>
  <c r="L94" i="1"/>
  <c r="L4" i="1"/>
  <c r="L81" i="1"/>
  <c r="J88" i="1"/>
  <c r="L88" i="1" s="1"/>
  <c r="L90" i="1"/>
  <c r="L70" i="1"/>
  <c r="L60" i="1"/>
  <c r="L50" i="1"/>
  <c r="L42" i="1"/>
  <c r="L30" i="1"/>
  <c r="L20" i="1"/>
  <c r="L10" i="1"/>
  <c r="K25" i="1"/>
  <c r="L164" i="1"/>
  <c r="L144" i="1"/>
  <c r="L33" i="1"/>
  <c r="L92" i="1"/>
  <c r="L72" i="1"/>
  <c r="L62" i="1"/>
  <c r="L44" i="1"/>
  <c r="K22" i="1"/>
  <c r="K69" i="1"/>
  <c r="K59" i="1"/>
  <c r="L49" i="1"/>
  <c r="K41" i="1"/>
  <c r="L29" i="1"/>
  <c r="K19" i="1"/>
  <c r="K9" i="1"/>
  <c r="K85" i="1"/>
  <c r="K175" i="1"/>
  <c r="K173" i="1"/>
  <c r="L86" i="1"/>
  <c r="K172" i="1"/>
  <c r="K171" i="1"/>
  <c r="L168" i="1"/>
  <c r="L158" i="1"/>
  <c r="L148" i="1"/>
  <c r="L138" i="1"/>
  <c r="K128" i="1"/>
  <c r="L118" i="1"/>
  <c r="L108" i="1"/>
  <c r="K98" i="1"/>
  <c r="L78" i="1"/>
  <c r="L68" i="1"/>
  <c r="L58" i="1"/>
  <c r="L48" i="1"/>
  <c r="L40" i="1"/>
  <c r="L28" i="1"/>
  <c r="L18" i="1"/>
  <c r="L8" i="1"/>
  <c r="L82" i="1"/>
  <c r="L87" i="1"/>
  <c r="K163" i="1"/>
  <c r="L76" i="1"/>
  <c r="K162" i="1"/>
  <c r="L172" i="1"/>
  <c r="L162" i="1"/>
  <c r="L152" i="1"/>
  <c r="L142" i="1"/>
  <c r="L132" i="1"/>
  <c r="L122" i="1"/>
  <c r="L112" i="1"/>
  <c r="L102" i="1"/>
  <c r="L52" i="1"/>
  <c r="K12" i="1"/>
  <c r="L171" i="1"/>
  <c r="L161" i="1"/>
  <c r="K151" i="1"/>
  <c r="K141" i="1"/>
  <c r="K131" i="1"/>
  <c r="L121" i="1"/>
  <c r="K111" i="1"/>
  <c r="K101" i="1"/>
  <c r="L91" i="1"/>
  <c r="L166" i="1"/>
  <c r="L136" i="1"/>
  <c r="L126" i="1"/>
  <c r="L116" i="1"/>
  <c r="K56" i="1"/>
  <c r="L38" i="1"/>
  <c r="K26" i="1"/>
  <c r="L6" i="1"/>
  <c r="J143" i="1"/>
  <c r="K143" i="1" s="1"/>
  <c r="L83" i="1"/>
  <c r="L69" i="1"/>
  <c r="K153" i="1"/>
  <c r="K71" i="1"/>
  <c r="L170" i="1"/>
  <c r="L160" i="1"/>
  <c r="L150" i="1"/>
  <c r="L140" i="1"/>
  <c r="L130" i="1"/>
  <c r="L120" i="1"/>
  <c r="L110" i="1"/>
  <c r="L100" i="1"/>
  <c r="L169" i="1"/>
  <c r="L159" i="1"/>
  <c r="L149" i="1"/>
  <c r="L139" i="1"/>
  <c r="L129" i="1"/>
  <c r="L119" i="1"/>
  <c r="L109" i="1"/>
  <c r="L99" i="1"/>
  <c r="L79" i="1"/>
  <c r="L177" i="1"/>
  <c r="L167" i="1"/>
  <c r="L157" i="1"/>
  <c r="L147" i="1"/>
  <c r="L137" i="1"/>
  <c r="L97" i="1"/>
  <c r="L77" i="1"/>
  <c r="L27" i="1"/>
  <c r="L7" i="1"/>
  <c r="L175" i="1"/>
  <c r="L165" i="1"/>
  <c r="L155" i="1"/>
  <c r="L145" i="1"/>
  <c r="L135" i="1"/>
  <c r="L125" i="1"/>
  <c r="L115" i="1"/>
  <c r="L105" i="1"/>
  <c r="L95" i="1"/>
  <c r="L75" i="1"/>
  <c r="L55" i="1"/>
  <c r="K152" i="1"/>
  <c r="L84" i="1"/>
  <c r="L25" i="1"/>
  <c r="K133" i="1"/>
  <c r="K123" i="1"/>
  <c r="K113" i="1"/>
  <c r="K93" i="1"/>
  <c r="K81" i="1"/>
  <c r="K61" i="1"/>
  <c r="K51" i="1"/>
  <c r="K43" i="1"/>
  <c r="K31" i="1"/>
  <c r="K21" i="1"/>
  <c r="K11" i="1"/>
  <c r="K142" i="1"/>
  <c r="K132" i="1"/>
  <c r="K122" i="1"/>
  <c r="K112" i="1"/>
  <c r="K102" i="1"/>
  <c r="K92" i="1"/>
  <c r="K80" i="1"/>
  <c r="K70" i="1"/>
  <c r="K60" i="1"/>
  <c r="K50" i="1"/>
  <c r="K42" i="1"/>
  <c r="K30" i="1"/>
  <c r="K20" i="1"/>
  <c r="K10" i="1"/>
  <c r="K121" i="1"/>
  <c r="K91" i="1"/>
  <c r="K79" i="1"/>
  <c r="K49" i="1"/>
  <c r="K29" i="1"/>
  <c r="K150" i="1"/>
  <c r="K130" i="1"/>
  <c r="K120" i="1"/>
  <c r="K110" i="1"/>
  <c r="K100" i="1"/>
  <c r="K90" i="1"/>
  <c r="K78" i="1"/>
  <c r="K68" i="1"/>
  <c r="K58" i="1"/>
  <c r="K48" i="1"/>
  <c r="K40" i="1"/>
  <c r="K28" i="1"/>
  <c r="K18" i="1"/>
  <c r="K8" i="1"/>
  <c r="K140" i="1"/>
  <c r="K99" i="1"/>
  <c r="K67" i="1"/>
  <c r="K57" i="1"/>
  <c r="K47" i="1"/>
  <c r="K39" i="1"/>
  <c r="K27" i="1"/>
  <c r="K17" i="1"/>
  <c r="K7" i="1"/>
  <c r="K161" i="1"/>
  <c r="K169" i="1"/>
  <c r="K129" i="1"/>
  <c r="K109" i="1"/>
  <c r="K77" i="1"/>
  <c r="K168" i="1"/>
  <c r="K158" i="1"/>
  <c r="K148" i="1"/>
  <c r="K138" i="1"/>
  <c r="K118" i="1"/>
  <c r="K108" i="1"/>
  <c r="K86" i="1"/>
  <c r="K38" i="1"/>
  <c r="K6" i="1"/>
  <c r="K159" i="1"/>
  <c r="K119" i="1"/>
  <c r="K177" i="1"/>
  <c r="K167" i="1"/>
  <c r="K157" i="1"/>
  <c r="K147" i="1"/>
  <c r="K137" i="1"/>
  <c r="K127" i="1"/>
  <c r="K117" i="1"/>
  <c r="K107" i="1"/>
  <c r="K97" i="1"/>
  <c r="K75" i="1"/>
  <c r="K37" i="1"/>
  <c r="K160" i="1"/>
  <c r="K149" i="1"/>
  <c r="K87" i="1"/>
  <c r="K176" i="1"/>
  <c r="K166" i="1"/>
  <c r="K156" i="1"/>
  <c r="K146" i="1"/>
  <c r="K136" i="1"/>
  <c r="K126" i="1"/>
  <c r="K116" i="1"/>
  <c r="K106" i="1"/>
  <c r="K96" i="1"/>
  <c r="K84" i="1"/>
  <c r="K74" i="1"/>
  <c r="K64" i="1"/>
  <c r="K54" i="1"/>
  <c r="K34" i="1"/>
  <c r="K24" i="1"/>
  <c r="K14" i="1"/>
  <c r="K4" i="1"/>
  <c r="K170" i="1"/>
  <c r="K139" i="1"/>
  <c r="K165" i="1"/>
  <c r="K155" i="1"/>
  <c r="K145" i="1"/>
  <c r="K135" i="1"/>
  <c r="K125" i="1"/>
  <c r="K115" i="1"/>
  <c r="K105" i="1"/>
  <c r="K95" i="1"/>
  <c r="K83" i="1"/>
  <c r="K73" i="1"/>
  <c r="K63" i="1"/>
  <c r="K53" i="1"/>
  <c r="K45" i="1"/>
  <c r="K33" i="1"/>
  <c r="K23" i="1"/>
  <c r="K13" i="1"/>
  <c r="K3" i="1"/>
  <c r="K174" i="1"/>
  <c r="K164" i="1"/>
  <c r="K154" i="1"/>
  <c r="K144" i="1"/>
  <c r="K134" i="1"/>
  <c r="K124" i="1"/>
  <c r="K114" i="1"/>
  <c r="K104" i="1"/>
  <c r="K94" i="1"/>
  <c r="K82" i="1"/>
  <c r="K72" i="1"/>
  <c r="K62" i="1"/>
  <c r="K52" i="1"/>
  <c r="K44" i="1"/>
  <c r="K32" i="1"/>
  <c r="K2" i="1"/>
  <c r="L151" i="1"/>
  <c r="L128" i="1"/>
  <c r="L19" i="1"/>
  <c r="L111" i="1"/>
  <c r="L59" i="1"/>
  <c r="L15" i="1"/>
  <c r="L98" i="1"/>
  <c r="L5" i="1"/>
  <c r="L103" i="1"/>
  <c r="L71" i="1"/>
  <c r="L46" i="1"/>
  <c r="L16" i="1"/>
  <c r="L141" i="1"/>
  <c r="L101" i="1"/>
  <c r="L66" i="1"/>
  <c r="L131" i="1"/>
  <c r="L65" i="1"/>
  <c r="L41" i="1"/>
  <c r="L9" i="1"/>
  <c r="L85" i="1"/>
  <c r="L56" i="1"/>
  <c r="L26" i="1"/>
  <c r="L22" i="1"/>
  <c r="L12" i="1"/>
  <c r="L2" i="1"/>
  <c r="A2" i="13" a="1"/>
  <c r="A2" i="13" s="1"/>
  <c r="L143" i="1" l="1"/>
  <c r="L36" i="1"/>
  <c r="K35" i="1"/>
  <c r="L89" i="1"/>
  <c r="K88" i="1"/>
  <c r="A3" i="7" a="1"/>
  <c r="A3" i="7" s="1"/>
  <c r="A1" i="9" l="1" a="1"/>
  <c r="A1" i="9" s="1"/>
  <c r="B2" i="4" a="1"/>
  <c r="B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<sst xmlns="http://schemas.openxmlformats.org/spreadsheetml/2006/main" count="1627" uniqueCount="232">
  <si>
    <t>Eng.</t>
    <phoneticPr fontId="1"/>
  </si>
  <si>
    <t>大カテゴリ</t>
    <rPh sb="0" eb="1">
      <t xml:space="preserve">ダイカテゴリ </t>
    </rPh>
    <phoneticPr fontId="1"/>
  </si>
  <si>
    <t>中カテゴリ</t>
    <rPh sb="0" eb="1">
      <t xml:space="preserve">チュウカテゴリ </t>
    </rPh>
    <phoneticPr fontId="1"/>
  </si>
  <si>
    <t>タスク名</t>
    <rPh sb="3" eb="4">
      <t xml:space="preserve">メイ </t>
    </rPh>
    <phoneticPr fontId="1"/>
  </si>
  <si>
    <t>恒久工数</t>
    <rPh sb="0" eb="2">
      <t xml:space="preserve">コウキュウ </t>
    </rPh>
    <rPh sb="2" eb="4">
      <t xml:space="preserve">コウスウ </t>
    </rPh>
    <phoneticPr fontId="1"/>
  </si>
  <si>
    <t>一時工数</t>
    <rPh sb="0" eb="2">
      <t xml:space="preserve">イチジ </t>
    </rPh>
    <rPh sb="2" eb="4">
      <t xml:space="preserve">コウスウ </t>
    </rPh>
    <phoneticPr fontId="1"/>
  </si>
  <si>
    <t>担当1</t>
    <rPh sb="0" eb="2">
      <t xml:space="preserve">タントウシャ </t>
    </rPh>
    <phoneticPr fontId="1"/>
  </si>
  <si>
    <t>担当2</t>
    <rPh sb="0" eb="2">
      <t xml:space="preserve">タントウシャ </t>
    </rPh>
    <phoneticPr fontId="1"/>
  </si>
  <si>
    <t>担当3</t>
    <rPh sb="0" eb="2">
      <t xml:space="preserve">タントウシャ </t>
    </rPh>
    <phoneticPr fontId="1"/>
  </si>
  <si>
    <t>FY27工数</t>
    <rPh sb="4" eb="6">
      <t xml:space="preserve">コウスウ </t>
    </rPh>
    <phoneticPr fontId="1"/>
  </si>
  <si>
    <t>見積根拠</t>
    <rPh sb="0" eb="2">
      <t xml:space="preserve">ミツモリ </t>
    </rPh>
    <rPh sb="2" eb="4">
      <t xml:space="preserve">コンキョ </t>
    </rPh>
    <phoneticPr fontId="1"/>
  </si>
  <si>
    <t>FFG</t>
  </si>
  <si>
    <t>ITGC</t>
  </si>
  <si>
    <t>WT</t>
  </si>
  <si>
    <t>勘定系</t>
  </si>
  <si>
    <t>TOC</t>
  </si>
  <si>
    <t>RF</t>
  </si>
  <si>
    <t>勘定系・融資支援(MCインフラ束ね)</t>
  </si>
  <si>
    <t>勘定系・融資支援(MO障害束ね)</t>
  </si>
  <si>
    <t>融資支援</t>
  </si>
  <si>
    <t>融資支援(MO束ね)</t>
  </si>
  <si>
    <t>(FFG) 勘定奉行＊</t>
  </si>
  <si>
    <t>(FFG) 連結納税＊</t>
  </si>
  <si>
    <t>MC束ね(本部決裁・個人ローン・投資経費)</t>
  </si>
  <si>
    <t>MC束ね(不動産・人事・Siatol・国際・収益・財務・時価・固定資産)</t>
  </si>
  <si>
    <t>MA(不動産・人事・Siatol・財務・時価)</t>
  </si>
  <si>
    <t>国際勘定(MA)</t>
  </si>
  <si>
    <t>Siatol(MAアプリ、MAインフラ)</t>
  </si>
  <si>
    <t>時価開示(MAインフラ)</t>
  </si>
  <si>
    <t>MO束ね(本部決裁・不動産・人事・時価・固定・FFG勘定奉行)</t>
  </si>
  <si>
    <t>MOバックアップ束ね(Siatol・個人ローン・国際・収益・時価)</t>
  </si>
  <si>
    <t>MO障害束ね(Siatol・個人ローン・国際・収益・時価)</t>
  </si>
  <si>
    <t>投資経費(MA,MO)</t>
  </si>
  <si>
    <t>固定資産(MA)</t>
  </si>
  <si>
    <t>退職給付債務計算ソフト</t>
  </si>
  <si>
    <t>RPA</t>
  </si>
  <si>
    <t>PRASa</t>
  </si>
  <si>
    <t>FFGクラウド(AWS) 束ね</t>
  </si>
  <si>
    <t>移行</t>
  </si>
  <si>
    <t>国際勘定系移行評価(基盤)</t>
  </si>
  <si>
    <t>ローン自動審査移行評価(基盤)</t>
  </si>
  <si>
    <t>資金証券(Siatol~NE, FM)移行評価</t>
  </si>
  <si>
    <t>資金証券(Siatol~NE, FM)新プロセス評価</t>
  </si>
  <si>
    <t>特権ID管理システム(iOperation)</t>
  </si>
  <si>
    <t>特権ID管理システム(AccessCheck)</t>
  </si>
  <si>
    <t>データエントリー</t>
  </si>
  <si>
    <t>市場金利情報伝送</t>
  </si>
  <si>
    <t>個人IB</t>
  </si>
  <si>
    <t>法人IB</t>
  </si>
  <si>
    <t>BancMeasure+</t>
  </si>
  <si>
    <t>自動仕訳システム</t>
  </si>
  <si>
    <t>(FFG)リスク管理高度化</t>
  </si>
  <si>
    <t>315対応</t>
  </si>
  <si>
    <t>サミット(VISA)</t>
  </si>
  <si>
    <t>ジニアス(JCB)</t>
  </si>
  <si>
    <t>Nomura i-Port</t>
  </si>
  <si>
    <t>BESTWAY</t>
  </si>
  <si>
    <t>FFGカード関連外部サービス</t>
  </si>
  <si>
    <t>ITAC</t>
  </si>
  <si>
    <t>-</t>
  </si>
  <si>
    <t>ポジショニング図の作成</t>
  </si>
  <si>
    <t>格付自己</t>
  </si>
  <si>
    <t>格付自己査定・貸出金SCOTのDFD作成</t>
  </si>
  <si>
    <t>格付自己査定・貸出金SCOT_データフロー観点のリスク・統制の識別</t>
  </si>
  <si>
    <t>格付自己査定・貸出金SCOT_既存SCOT調書でのリスク・統制識別との比較</t>
  </si>
  <si>
    <t>格付自己査定・貸出金SCOT_プロセス・リスク・統制識別に係るコアナームレピ</t>
  </si>
  <si>
    <t>格付自己査定・貸出金SCOT_WT追加依頼リストの作成</t>
  </si>
  <si>
    <t>格付自己査定・貸出金SCOT_ITAC評価調書(差分版)の作成(BITACso)</t>
  </si>
  <si>
    <t>格付自己査定・貸出金SCOT_調書レビュー</t>
  </si>
  <si>
    <t>金利関連</t>
  </si>
  <si>
    <t>為替・金利SCOTのDFD更新</t>
  </si>
  <si>
    <t>既存ITAC_格付自己査定プロセスのITAC評価(BITACs)</t>
  </si>
  <si>
    <t>既存ITAC_調書レビュー</t>
  </si>
  <si>
    <t>IPE</t>
  </si>
  <si>
    <t>IPE評価調書(EYJP265及び別紙)の作成</t>
  </si>
  <si>
    <t>IPE評価調書_調書レビュー</t>
  </si>
  <si>
    <t>貸引EUC</t>
  </si>
  <si>
    <t>貸引EUC_依頼リストの作成_中間</t>
  </si>
  <si>
    <t>貸引EUC_検証調書の作成_中間</t>
  </si>
  <si>
    <t>貸引EUC_依頼リストの作成_期末</t>
  </si>
  <si>
    <t>貸引EUC_検証調書の作成_期末</t>
  </si>
  <si>
    <t>貸引EUC_調書レビュー</t>
  </si>
  <si>
    <t>SmartAu</t>
  </si>
  <si>
    <t>SmartAudit計画書/結果説明への対応</t>
  </si>
  <si>
    <t>MNG-Consumer Lending Analyzer対応</t>
  </si>
  <si>
    <t>BOF:Cash Analyzer対応</t>
  </si>
  <si>
    <t>個別工数</t>
  </si>
  <si>
    <t>AWS基盤の調書束ね</t>
  </si>
  <si>
    <t>EYJP265の調書フォーマット変更</t>
  </si>
  <si>
    <t>その他</t>
  </si>
  <si>
    <t>勘定系RCM再検討</t>
  </si>
  <si>
    <t>融資支援RCM再検討</t>
  </si>
  <si>
    <t>サイバーリスク評価</t>
  </si>
  <si>
    <t>JSOX改訂対応</t>
  </si>
  <si>
    <t>勉強会</t>
  </si>
  <si>
    <t>評価結果資料作成</t>
  </si>
  <si>
    <t>依頼リスト確認・依頼フォルダ作成</t>
  </si>
  <si>
    <t>共通工数</t>
  </si>
  <si>
    <t>計画</t>
  </si>
  <si>
    <t>会社向け計画説明資料</t>
  </si>
  <si>
    <t>コアチーム向け計画説明資料</t>
  </si>
  <si>
    <t>計画EDAP会議資料</t>
  </si>
  <si>
    <t>230GL</t>
  </si>
  <si>
    <t>システム概要ワークシート</t>
  </si>
  <si>
    <t>IT環境ワークシート</t>
  </si>
  <si>
    <t>サイバーセキュリティワークシート</t>
  </si>
  <si>
    <t>231GL</t>
  </si>
  <si>
    <t>Form233</t>
  </si>
  <si>
    <t>234GL</t>
  </si>
  <si>
    <t>Form123</t>
  </si>
  <si>
    <t>クライアント調整</t>
  </si>
  <si>
    <t>社内ミーティング</t>
  </si>
  <si>
    <t>レビュワー工数</t>
  </si>
  <si>
    <t>中間</t>
  </si>
  <si>
    <t>中間アーカイブ対応</t>
  </si>
  <si>
    <t>期末</t>
  </si>
  <si>
    <t>期末EDAP会議資料</t>
  </si>
  <si>
    <t>EYJP330</t>
  </si>
  <si>
    <t>EYJP250</t>
  </si>
  <si>
    <t>IT評価フォーム</t>
  </si>
  <si>
    <t>SOCD</t>
  </si>
  <si>
    <t>期末Canvasクローズ</t>
  </si>
  <si>
    <t>CIOディスカッション（ディスカッション資料・議事録）＊</t>
  </si>
  <si>
    <t>実施月</t>
    <rPh sb="0" eb="2">
      <t xml:space="preserve">ジッシ </t>
    </rPh>
    <rPh sb="2" eb="3">
      <t xml:space="preserve">ツキ </t>
    </rPh>
    <phoneticPr fontId="1"/>
  </si>
  <si>
    <t>FY26工数</t>
    <rPh sb="4" eb="6">
      <t xml:space="preserve">コウスウ </t>
    </rPh>
    <phoneticPr fontId="1"/>
  </si>
  <si>
    <t>増減</t>
    <rPh sb="0" eb="2">
      <t xml:space="preserve">ゾウゲン </t>
    </rPh>
    <phoneticPr fontId="1"/>
  </si>
  <si>
    <t>FY25工数</t>
    <rPh sb="4" eb="6">
      <t xml:space="preserve">コウスウ </t>
    </rPh>
    <phoneticPr fontId="1"/>
  </si>
  <si>
    <t>honorJS</t>
    <phoneticPr fontId="1"/>
  </si>
  <si>
    <t>増減理由</t>
    <rPh sb="0" eb="2">
      <t xml:space="preserve">ゾウゲン </t>
    </rPh>
    <rPh sb="2" eb="4">
      <t xml:space="preserve">リユウ </t>
    </rPh>
    <phoneticPr fontId="1"/>
  </si>
  <si>
    <t>FY27 Siatolのクラウド更改</t>
    <rPh sb="16" eb="18">
      <t xml:space="preserve">コウカイ </t>
    </rPh>
    <phoneticPr fontId="1"/>
  </si>
  <si>
    <t>増減理由</t>
    <rPh sb="0" eb="2">
      <t xml:space="preserve">ゾウゲｎ </t>
    </rPh>
    <rPh sb="2" eb="4">
      <t xml:space="preserve">リユウ </t>
    </rPh>
    <phoneticPr fontId="1"/>
  </si>
  <si>
    <t>行ラベル</t>
  </si>
  <si>
    <t>honorJS</t>
  </si>
  <si>
    <t>総計</t>
  </si>
  <si>
    <t>合計 / FY27工数</t>
  </si>
  <si>
    <t>A</t>
    <phoneticPr fontId="1"/>
  </si>
  <si>
    <t>B</t>
    <phoneticPr fontId="1"/>
  </si>
  <si>
    <t>C</t>
    <phoneticPr fontId="1"/>
  </si>
  <si>
    <t>工数差分</t>
    <rPh sb="0" eb="2">
      <t xml:space="preserve">コウスウ </t>
    </rPh>
    <rPh sb="2" eb="4">
      <t xml:space="preserve">サブン </t>
    </rPh>
    <phoneticPr fontId="1"/>
  </si>
  <si>
    <t>月ごと総工数</t>
    <rPh sb="0" eb="1">
      <t xml:space="preserve">ツキ </t>
    </rPh>
    <rPh sb="3" eb="6">
      <t xml:space="preserve">ソウコウスウ </t>
    </rPh>
    <phoneticPr fontId="1"/>
  </si>
  <si>
    <t>タスクID</t>
    <phoneticPr fontId="1"/>
  </si>
  <si>
    <t>B9007</t>
    <phoneticPr fontId="1"/>
  </si>
  <si>
    <t>B9011, B9014, B9015, B9016</t>
    <phoneticPr fontId="1"/>
  </si>
  <si>
    <t>B9021, B9023, B9024</t>
    <phoneticPr fontId="1"/>
  </si>
  <si>
    <t>B9026</t>
  </si>
  <si>
    <r>
      <rPr>
        <sz val="12"/>
        <color rgb="FF1F1F1F"/>
        <rFont val="MS Gothic"/>
        <family val="2"/>
        <charset val="128"/>
      </rPr>
      <t>デ直束ね</t>
    </r>
    <r>
      <rPr>
        <sz val="12"/>
        <color rgb="FF1F1F1F"/>
        <rFont val="Arial"/>
        <family val="2"/>
      </rPr>
      <t>(</t>
    </r>
    <r>
      <rPr>
        <sz val="12"/>
        <color rgb="FF1F1F1F"/>
        <rFont val="MS Gothic"/>
        <family val="2"/>
        <charset val="128"/>
      </rPr>
      <t>融資支援・個人ローン・国際勘定</t>
    </r>
    <r>
      <rPr>
        <sz val="12"/>
        <color rgb="FF1F1F1F"/>
        <rFont val="Arial"/>
        <family val="2"/>
      </rPr>
      <t>)</t>
    </r>
    <phoneticPr fontId="1"/>
  </si>
  <si>
    <r>
      <t>デ直束ね</t>
    </r>
    <r>
      <rPr>
        <sz val="12"/>
        <color rgb="FF1F1F1F"/>
        <rFont val="Arial"/>
        <family val="2"/>
      </rPr>
      <t>(</t>
    </r>
    <r>
      <rPr>
        <sz val="12"/>
        <color rgb="FF1F1F1F"/>
        <rFont val="MS Gothic"/>
        <family val="2"/>
        <charset val="128"/>
      </rPr>
      <t>融資支援・個人ローン・国際勘定</t>
    </r>
    <r>
      <rPr>
        <sz val="12"/>
        <color rgb="FF1F1F1F"/>
        <rFont val="Arial"/>
        <family val="2"/>
      </rPr>
      <t>)</t>
    </r>
  </si>
  <si>
    <t>B9093</t>
    <phoneticPr fontId="1"/>
  </si>
  <si>
    <t>B90G3, B90G4</t>
    <phoneticPr fontId="1"/>
  </si>
  <si>
    <t>B9154</t>
    <phoneticPr fontId="1"/>
  </si>
  <si>
    <t>B9181, B9183, B9186</t>
    <phoneticPr fontId="1"/>
  </si>
  <si>
    <t>B9259</t>
    <phoneticPr fontId="1"/>
  </si>
  <si>
    <t>B9279</t>
    <phoneticPr fontId="1"/>
  </si>
  <si>
    <t>B9129</t>
    <phoneticPr fontId="1"/>
  </si>
  <si>
    <t>B9139</t>
    <phoneticPr fontId="1"/>
  </si>
  <si>
    <t>B9119</t>
    <phoneticPr fontId="1"/>
  </si>
  <si>
    <t>B9229</t>
    <phoneticPr fontId="1"/>
  </si>
  <si>
    <t>B9239</t>
    <phoneticPr fontId="1"/>
  </si>
  <si>
    <t>B9249</t>
    <phoneticPr fontId="1"/>
  </si>
  <si>
    <t>B9219</t>
    <phoneticPr fontId="1"/>
  </si>
  <si>
    <t>B9039</t>
    <phoneticPr fontId="1"/>
  </si>
  <si>
    <t>B9199</t>
    <phoneticPr fontId="1"/>
  </si>
  <si>
    <t>B9209</t>
    <phoneticPr fontId="1"/>
  </si>
  <si>
    <t>B9289</t>
    <phoneticPr fontId="1"/>
  </si>
  <si>
    <t>B9269</t>
    <phoneticPr fontId="1"/>
  </si>
  <si>
    <t>B9173</t>
    <phoneticPr fontId="1"/>
  </si>
  <si>
    <t>B9xxx</t>
    <phoneticPr fontId="1"/>
  </si>
  <si>
    <t>B90A2</t>
    <phoneticPr fontId="1"/>
  </si>
  <si>
    <t>B90A6</t>
    <phoneticPr fontId="1"/>
  </si>
  <si>
    <t>B90H5</t>
    <phoneticPr fontId="1"/>
  </si>
  <si>
    <r>
      <rPr>
        <sz val="12"/>
        <color rgb="FF1F1F1F"/>
        <rFont val="MS Gothic"/>
        <family val="2"/>
        <charset val="128"/>
      </rPr>
      <t>本部決算</t>
    </r>
    <r>
      <rPr>
        <sz val="12"/>
        <color rgb="FF1F1F1F"/>
        <rFont val="Arial"/>
        <family val="2"/>
      </rPr>
      <t>(MA</t>
    </r>
    <r>
      <rPr>
        <sz val="12"/>
        <color rgb="FF1F1F1F"/>
        <rFont val="MS Gothic"/>
        <family val="2"/>
        <charset val="128"/>
      </rPr>
      <t>アプリ・</t>
    </r>
    <r>
      <rPr>
        <sz val="12"/>
        <color rgb="FF1F1F1F"/>
        <rFont val="Arial"/>
        <family val="2"/>
      </rPr>
      <t>MA</t>
    </r>
    <r>
      <rPr>
        <sz val="12"/>
        <color rgb="FF1F1F1F"/>
        <rFont val="MS Gothic"/>
        <family val="2"/>
        <charset val="128"/>
      </rPr>
      <t>インフラ</t>
    </r>
    <r>
      <rPr>
        <sz val="12"/>
        <color rgb="FF1F1F1F"/>
        <rFont val="Arial"/>
        <family val="2"/>
      </rPr>
      <t>)</t>
    </r>
    <rPh sb="2" eb="4">
      <t xml:space="preserve">ケッサン </t>
    </rPh>
    <phoneticPr fontId="1"/>
  </si>
  <si>
    <t>B90B1</t>
    <phoneticPr fontId="1"/>
  </si>
  <si>
    <t>B90C1</t>
    <phoneticPr fontId="1"/>
  </si>
  <si>
    <t>B90E6</t>
    <phoneticPr fontId="1"/>
  </si>
  <si>
    <t>B90F6</t>
    <phoneticPr fontId="1"/>
  </si>
  <si>
    <t>工数差分</t>
    <rPh sb="0" eb="2">
      <t xml:space="preserve">コウスウ </t>
    </rPh>
    <rPh sb="2" eb="4">
      <t xml:space="preserve">サブｎ </t>
    </rPh>
    <phoneticPr fontId="1"/>
  </si>
  <si>
    <t>-</t>
    <phoneticPr fontId="1"/>
  </si>
  <si>
    <r>
      <rPr>
        <sz val="12"/>
        <color rgb="FF1F1F1F"/>
        <rFont val="MS Gothic"/>
        <family val="2"/>
        <charset val="128"/>
      </rPr>
      <t>人事情報システム移行評価</t>
    </r>
    <r>
      <rPr>
        <sz val="12"/>
        <color rgb="FF1F1F1F"/>
        <rFont val="Arial"/>
        <family val="2"/>
      </rPr>
      <t>(</t>
    </r>
    <r>
      <rPr>
        <sz val="12"/>
        <color rgb="FF1F1F1F"/>
        <rFont val="MS Gothic"/>
        <family val="2"/>
        <charset val="128"/>
      </rPr>
      <t>クラウド基盤</t>
    </r>
    <r>
      <rPr>
        <sz val="12"/>
        <color rgb="FF1F1F1F"/>
        <rFont val="Arial"/>
        <family val="2"/>
      </rPr>
      <t>)</t>
    </r>
    <phoneticPr fontId="1"/>
  </si>
  <si>
    <t>2026年8月にクラウド(COMPANY)更改</t>
    <rPh sb="4" eb="5">
      <t xml:space="preserve">ネン </t>
    </rPh>
    <rPh sb="6" eb="7">
      <t xml:space="preserve">ガツ </t>
    </rPh>
    <rPh sb="21" eb="23">
      <t xml:space="preserve">コウカイ </t>
    </rPh>
    <phoneticPr fontId="1"/>
  </si>
  <si>
    <t>FY26に移行終了</t>
    <rPh sb="7" eb="9">
      <t xml:space="preserve">シュウリョウ </t>
    </rPh>
    <phoneticPr fontId="1"/>
  </si>
  <si>
    <t>FY26限定トピック</t>
    <rPh sb="4" eb="6">
      <t xml:space="preserve">ゲンテイ </t>
    </rPh>
    <phoneticPr fontId="1"/>
  </si>
  <si>
    <t>FY27からタスクとして独立</t>
    <rPh sb="12" eb="14">
      <t xml:space="preserve">ドクリツ </t>
    </rPh>
    <phoneticPr fontId="1"/>
  </si>
  <si>
    <t>WT</t>
    <phoneticPr fontId="1"/>
  </si>
  <si>
    <r>
      <t>(</t>
    </r>
    <r>
      <rPr>
        <sz val="12"/>
        <color rgb="FF1F1F1F"/>
        <rFont val="MS Gothic"/>
        <family val="2"/>
        <charset val="128"/>
      </rPr>
      <t>旧</t>
    </r>
    <r>
      <rPr>
        <sz val="12"/>
        <color rgb="FF1F1F1F"/>
        <rFont val="Arial"/>
        <family val="2"/>
      </rPr>
      <t xml:space="preserve">) </t>
    </r>
    <r>
      <rPr>
        <sz val="12"/>
        <color rgb="FF1F1F1F"/>
        <rFont val="MS Gothic"/>
        <family val="2"/>
        <charset val="128"/>
      </rPr>
      <t>人事情報システム</t>
    </r>
    <r>
      <rPr>
        <sz val="12"/>
        <color rgb="FF1F1F1F"/>
        <rFont val="Arial"/>
        <family val="2"/>
      </rPr>
      <t>(MC, MA, MO)</t>
    </r>
    <rPh sb="1" eb="2">
      <t>0b1001</t>
    </rPh>
    <rPh sb="4" eb="8">
      <t xml:space="preserve">ジンジジョウホウシステヌ </t>
    </rPh>
    <phoneticPr fontId="1"/>
  </si>
  <si>
    <t>依頼リスト2h, WT/TOC24h, RV2h</t>
    <rPh sb="0" eb="2">
      <t xml:space="preserve">イライリスト </t>
    </rPh>
    <phoneticPr fontId="1"/>
  </si>
  <si>
    <t>(作業用)タスク結合名</t>
    <rPh sb="1" eb="4">
      <t xml:space="preserve">サギョウヨウ </t>
    </rPh>
    <rPh sb="8" eb="10">
      <t xml:space="preserve">ケツゴウ </t>
    </rPh>
    <rPh sb="10" eb="11">
      <t xml:space="preserve">メイ </t>
    </rPh>
    <phoneticPr fontId="1"/>
  </si>
  <si>
    <t>TOC</t>
    <phoneticPr fontId="1"/>
  </si>
  <si>
    <t>RF</t>
    <phoneticPr fontId="1"/>
  </si>
  <si>
    <t>依頼リスト2h, WT14h, RV2h</t>
    <rPh sb="0" eb="2">
      <t xml:space="preserve">イライリスト </t>
    </rPh>
    <phoneticPr fontId="1"/>
  </si>
  <si>
    <t>依頼リスト2h, TOC14h, RV2h</t>
    <rPh sb="0" eb="2">
      <t xml:space="preserve">イライリスト </t>
    </rPh>
    <phoneticPr fontId="1"/>
  </si>
  <si>
    <t>依頼リスト1h, TOC6h, RV1h</t>
    <rPh sb="0" eb="2">
      <t xml:space="preserve">イライリスト </t>
    </rPh>
    <phoneticPr fontId="1"/>
  </si>
  <si>
    <r>
      <t>(</t>
    </r>
    <r>
      <rPr>
        <sz val="12"/>
        <color rgb="FF1F1F1F"/>
        <rFont val="MS Gothic"/>
        <family val="2"/>
        <charset val="128"/>
      </rPr>
      <t>新)人事情報システム(SOC)</t>
    </r>
    <rPh sb="1" eb="2">
      <t xml:space="preserve">シン </t>
    </rPh>
    <rPh sb="3" eb="7">
      <t xml:space="preserve">ジンジジョウホウ </t>
    </rPh>
    <phoneticPr fontId="1"/>
  </si>
  <si>
    <r>
      <t>(</t>
    </r>
    <r>
      <rPr>
        <sz val="12"/>
        <color rgb="FF1F1F1F"/>
        <rFont val="MS Gothic"/>
        <family val="2"/>
        <charset val="128"/>
      </rPr>
      <t>新)人事情報システム(MA)</t>
    </r>
    <rPh sb="1" eb="2">
      <t xml:space="preserve">シン </t>
    </rPh>
    <rPh sb="3" eb="7">
      <t xml:space="preserve">ジンジジョウホウ </t>
    </rPh>
    <phoneticPr fontId="1"/>
  </si>
  <si>
    <t>依頼リスト1h, SOC7h, RV1h</t>
    <rPh sb="0" eb="2">
      <t xml:space="preserve">イライリスト </t>
    </rPh>
    <phoneticPr fontId="1"/>
  </si>
  <si>
    <t>依頼リスト1h, SOC7h, RV1h, 質問書1h</t>
    <rPh sb="0" eb="2">
      <t xml:space="preserve">イライリスト </t>
    </rPh>
    <rPh sb="22" eb="25">
      <t xml:space="preserve">シツモンショ </t>
    </rPh>
    <phoneticPr fontId="1"/>
  </si>
  <si>
    <r>
      <t>(</t>
    </r>
    <r>
      <rPr>
        <sz val="12"/>
        <color rgb="FF1F1F1F"/>
        <rFont val="MS Gothic"/>
        <family val="2"/>
        <charset val="128"/>
      </rPr>
      <t>新)人事情報システム(相補的)</t>
    </r>
    <rPh sb="1" eb="2">
      <t xml:space="preserve">シン </t>
    </rPh>
    <rPh sb="3" eb="7">
      <t xml:space="preserve">ジンジジョウホウ </t>
    </rPh>
    <rPh sb="12" eb="15">
      <t xml:space="preserve">ソウホテキナイブ </t>
    </rPh>
    <phoneticPr fontId="1"/>
  </si>
  <si>
    <t>1h束ね記載削除</t>
    <rPh sb="2" eb="3">
      <t xml:space="preserve">タバネ </t>
    </rPh>
    <rPh sb="4" eb="6">
      <t xml:space="preserve">キサイ </t>
    </rPh>
    <rPh sb="6" eb="8">
      <t xml:space="preserve">サクジョ </t>
    </rPh>
    <phoneticPr fontId="1"/>
  </si>
  <si>
    <t>人事情報束ね分離</t>
    <rPh sb="0" eb="4">
      <t xml:space="preserve">ジンジジョウホウ </t>
    </rPh>
    <phoneticPr fontId="1"/>
  </si>
  <si>
    <t>増減ステータス</t>
    <rPh sb="0" eb="2">
      <t xml:space="preserve">ゾウゲン </t>
    </rPh>
    <phoneticPr fontId="1"/>
  </si>
  <si>
    <t>FY27</t>
    <phoneticPr fontId="1"/>
  </si>
  <si>
    <t>FY26</t>
    <phoneticPr fontId="1"/>
  </si>
  <si>
    <t>工数</t>
    <phoneticPr fontId="1"/>
  </si>
  <si>
    <t>工数</t>
    <rPh sb="0" eb="2">
      <t xml:space="preserve">コウスウ </t>
    </rPh>
    <phoneticPr fontId="1"/>
  </si>
  <si>
    <t>FY26の想定よりFY27統制数増加のため追加</t>
    <rPh sb="13" eb="15">
      <t xml:space="preserve">トウセイ </t>
    </rPh>
    <rPh sb="15" eb="16">
      <t xml:space="preserve">スウ </t>
    </rPh>
    <rPh sb="16" eb="18">
      <t xml:space="preserve">ゾウカ </t>
    </rPh>
    <rPh sb="21" eb="23">
      <t xml:space="preserve">ツイカ </t>
    </rPh>
    <phoneticPr fontId="1"/>
  </si>
  <si>
    <t>FY26統制整備完了のため減少</t>
    <rPh sb="4" eb="6">
      <t xml:space="preserve">トウセイ </t>
    </rPh>
    <rPh sb="6" eb="8">
      <t xml:space="preserve">セイビ </t>
    </rPh>
    <rPh sb="8" eb="10">
      <t xml:space="preserve">カンリョウ </t>
    </rPh>
    <rPh sb="13" eb="15">
      <t xml:space="preserve">ゲンショウ </t>
    </rPh>
    <phoneticPr fontId="1"/>
  </si>
  <si>
    <t>FY27TOC新規実施のため追加</t>
    <rPh sb="7" eb="9">
      <t xml:space="preserve">シンキ </t>
    </rPh>
    <rPh sb="9" eb="11">
      <t xml:space="preserve">ジッシ </t>
    </rPh>
    <rPh sb="14" eb="16">
      <t xml:space="preserve">ツイカ </t>
    </rPh>
    <phoneticPr fontId="1"/>
  </si>
  <si>
    <t>FY27RF新規実施のため追加</t>
    <rPh sb="6" eb="8">
      <t xml:space="preserve">シンキ </t>
    </rPh>
    <rPh sb="8" eb="10">
      <t xml:space="preserve">ジッシ </t>
    </rPh>
    <rPh sb="13" eb="15">
      <t xml:space="preserve">ツイカ </t>
    </rPh>
    <phoneticPr fontId="1"/>
  </si>
  <si>
    <t>FY26のFCB対応終了</t>
    <rPh sb="8" eb="10">
      <t xml:space="preserve">タイオウ </t>
    </rPh>
    <rPh sb="10" eb="12">
      <t xml:space="preserve">シュウリョウ </t>
    </rPh>
    <phoneticPr fontId="1"/>
  </si>
  <si>
    <t>工数の適正化</t>
    <rPh sb="0" eb="2">
      <t xml:space="preserve">コウスウ </t>
    </rPh>
    <phoneticPr fontId="1"/>
  </si>
  <si>
    <t>J-SOX実施可能性がなくなったため、削除</t>
    <rPh sb="5" eb="7">
      <t xml:space="preserve">ジッシ </t>
    </rPh>
    <rPh sb="7" eb="10">
      <t xml:space="preserve">カノウセイ </t>
    </rPh>
    <rPh sb="19" eb="21">
      <t xml:space="preserve">サクジョ </t>
    </rPh>
    <phoneticPr fontId="1"/>
  </si>
  <si>
    <t>FY27のトピック</t>
    <phoneticPr fontId="1"/>
  </si>
  <si>
    <t>FY27は工数削減のうえ、個別システムの特性見直し</t>
    <rPh sb="5" eb="6">
      <t xml:space="preserve">コウスウ </t>
    </rPh>
    <rPh sb="7" eb="9">
      <t xml:space="preserve">サクゲン </t>
    </rPh>
    <rPh sb="13" eb="15">
      <t xml:space="preserve">コベツ </t>
    </rPh>
    <rPh sb="22" eb="24">
      <t xml:space="preserve">ミナオシ </t>
    </rPh>
    <phoneticPr fontId="1"/>
  </si>
  <si>
    <r>
      <rPr>
        <sz val="12"/>
        <color rgb="FF1F1F1F"/>
        <rFont val="MS Gothic"/>
        <family val="2"/>
        <charset val="128"/>
      </rPr>
      <t>勘定系移行評価</t>
    </r>
    <r>
      <rPr>
        <sz val="12"/>
        <color rgb="FF1F1F1F"/>
        <rFont val="Arial"/>
        <family val="2"/>
      </rPr>
      <t>(</t>
    </r>
    <r>
      <rPr>
        <sz val="12"/>
        <color rgb="FF1F1F1F"/>
        <rFont val="MS Gothic"/>
        <family val="2"/>
        <charset val="128"/>
      </rPr>
      <t>基盤</t>
    </r>
    <r>
      <rPr>
        <sz val="12"/>
        <color rgb="FF1F1F1F"/>
        <rFont val="Arial"/>
        <family val="2"/>
      </rPr>
      <t>)9</t>
    </r>
    <r>
      <rPr>
        <sz val="12"/>
        <color rgb="FF1F1F1F"/>
        <rFont val="MS Gothic"/>
        <family val="2"/>
        <charset val="128"/>
      </rPr>
      <t>月</t>
    </r>
    <rPh sb="0" eb="1">
      <t xml:space="preserve">カンジョウケイ </t>
    </rPh>
    <rPh sb="3" eb="7">
      <t xml:space="preserve">イコウヒョウカ </t>
    </rPh>
    <rPh sb="8" eb="10">
      <t xml:space="preserve">キバン </t>
    </rPh>
    <rPh sb="12" eb="13">
      <t xml:space="preserve">ガツ </t>
    </rPh>
    <phoneticPr fontId="1"/>
  </si>
  <si>
    <r>
      <rPr>
        <sz val="12"/>
        <color rgb="FF1F1F1F"/>
        <rFont val="MS Gothic"/>
        <family val="2"/>
        <charset val="128"/>
      </rPr>
      <t>勘定系移行評価</t>
    </r>
    <r>
      <rPr>
        <sz val="12"/>
        <color rgb="FF1F1F1F"/>
        <rFont val="Arial"/>
        <family val="2"/>
      </rPr>
      <t>(</t>
    </r>
    <r>
      <rPr>
        <sz val="12"/>
        <color rgb="FF1F1F1F"/>
        <rFont val="MS Gothic"/>
        <family val="2"/>
        <charset val="128"/>
      </rPr>
      <t>基盤</t>
    </r>
    <r>
      <rPr>
        <sz val="12"/>
        <color rgb="FF1F1F1F"/>
        <rFont val="Arial"/>
        <family val="2"/>
      </rPr>
      <t>)1</t>
    </r>
    <r>
      <rPr>
        <sz val="12"/>
        <color rgb="FF1F1F1F"/>
        <rFont val="MS Gothic"/>
        <family val="2"/>
        <charset val="128"/>
      </rPr>
      <t>月</t>
    </r>
    <rPh sb="0" eb="1">
      <t xml:space="preserve">カンジョウケイ </t>
    </rPh>
    <rPh sb="3" eb="7">
      <t xml:space="preserve">イコウヒョウカ </t>
    </rPh>
    <rPh sb="8" eb="10">
      <t xml:space="preserve">キバン </t>
    </rPh>
    <rPh sb="12" eb="13">
      <t xml:space="preserve">ガツ </t>
    </rPh>
    <phoneticPr fontId="1"/>
  </si>
  <si>
    <t>2026年9月熊本銀行基盤更改</t>
    <rPh sb="4" eb="5">
      <t xml:space="preserve">ネン </t>
    </rPh>
    <rPh sb="6" eb="7">
      <t xml:space="preserve">ガツ </t>
    </rPh>
    <rPh sb="7" eb="11">
      <t xml:space="preserve">クマモトギンコウ </t>
    </rPh>
    <rPh sb="11" eb="15">
      <t xml:space="preserve">キバンコウカイ </t>
    </rPh>
    <phoneticPr fontId="1"/>
  </si>
  <si>
    <t>2027年1月福岡銀行基盤更改</t>
    <rPh sb="4" eb="5">
      <t xml:space="preserve">ネン </t>
    </rPh>
    <rPh sb="6" eb="7">
      <t xml:space="preserve">ガツ </t>
    </rPh>
    <rPh sb="7" eb="9">
      <t xml:space="preserve">フクオカ </t>
    </rPh>
    <rPh sb="9" eb="11">
      <t xml:space="preserve">クマモトギンコウ </t>
    </rPh>
    <rPh sb="11" eb="15">
      <t xml:space="preserve">キバンコウカイ </t>
    </rPh>
    <phoneticPr fontId="1"/>
  </si>
  <si>
    <t>依頼リスト3h, WT24h, RV2h</t>
    <phoneticPr fontId="1"/>
  </si>
  <si>
    <t>依頼リスト2h, WT16h, RV1h</t>
    <phoneticPr fontId="1"/>
  </si>
  <si>
    <t>Siatol MC</t>
  </si>
  <si>
    <t>Siatol MC</t>
    <phoneticPr fontId="1"/>
  </si>
  <si>
    <r>
      <t>Siatol M</t>
    </r>
    <r>
      <rPr>
        <i/>
        <sz val="12"/>
        <color rgb="FF1F1F1F"/>
        <rFont val="Arial"/>
        <family val="2"/>
      </rPr>
      <t>O</t>
    </r>
    <phoneticPr fontId="1"/>
  </si>
  <si>
    <r>
      <t>MO</t>
    </r>
    <r>
      <rPr>
        <sz val="12"/>
        <color rgb="FF1F1F1F"/>
        <rFont val="MS Gothic"/>
        <family val="2"/>
        <charset val="128"/>
      </rPr>
      <t>束ね</t>
    </r>
    <r>
      <rPr>
        <sz val="12"/>
        <color rgb="FF1F1F1F"/>
        <rFont val="Arial"/>
        <family val="2"/>
      </rPr>
      <t>(</t>
    </r>
    <r>
      <rPr>
        <sz val="12"/>
        <color rgb="FF1F1F1F"/>
        <rFont val="MS Gothic"/>
        <family val="2"/>
        <charset val="128"/>
      </rPr>
      <t>本部決裁・不動産・人事・時価・固定・</t>
    </r>
    <r>
      <rPr>
        <sz val="12"/>
        <color rgb="FF1F1F1F"/>
        <rFont val="Arial"/>
        <family val="2"/>
      </rPr>
      <t>FFG</t>
    </r>
    <r>
      <rPr>
        <sz val="12"/>
        <color rgb="FF1F1F1F"/>
        <rFont val="MS Gothic"/>
        <family val="2"/>
        <charset val="128"/>
      </rPr>
      <t>勘定奉行</t>
    </r>
    <r>
      <rPr>
        <sz val="12"/>
        <color rgb="FF1F1F1F"/>
        <rFont val="Arial"/>
        <family val="2"/>
      </rPr>
      <t>)</t>
    </r>
    <phoneticPr fontId="1"/>
  </si>
  <si>
    <t>デ直束ね(融資支援・個人ローン・国際勘定)</t>
  </si>
  <si>
    <t>本部決算(MAアプリ・MAインフラ)</t>
  </si>
  <si>
    <t>(旧) 人事情報システム(MC, MA, MO)</t>
  </si>
  <si>
    <t>(新)人事情報システム(相補的)</t>
  </si>
  <si>
    <t>(新)人事情報システム(MA)</t>
  </si>
  <si>
    <t>(新)人事情報システム(SOC)</t>
  </si>
  <si>
    <t>人事情報システム移行評価(クラウド基盤)</t>
  </si>
  <si>
    <t>勘定系移行評価(基盤)9月</t>
  </si>
  <si>
    <t>勘定系移行評価(基盤)1月</t>
  </si>
  <si>
    <t>Siatol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</si>
</sst>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;&quot;▲ &quot;0"/>
    <numFmt numFmtId="177" formatCode="0&quot;h&quot;"/>
    <numFmt numFmtId="178" formatCode="0&quot;月&quot;"/>
  </numFmts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1F1F1F"/>
      <name val="Arial"/>
      <family val="2"/>
    </font>
    <font>
      <sz val="10"/>
      <color theme="1"/>
      <name val="Arial Unicode MS"/>
      <family val="2"/>
    </font>
    <font>
      <sz val="12"/>
      <name val="游ゴシック"/>
      <family val="2"/>
      <charset val="128"/>
      <scheme val="minor"/>
    </font>
    <font>
      <sz val="12"/>
      <color rgb="FF1F1F1F"/>
      <name val="MS Gothic"/>
      <family val="2"/>
      <charset val="128"/>
    </font>
    <font>
      <sz val="12"/>
      <color rgb="FF1F1F1F"/>
      <name val="Arial"/>
      <family val="2"/>
      <charset val="128"/>
    </font>
    <font>
      <sz val="12"/>
      <color theme="1"/>
      <name val="游ゴシック"/>
      <family val="3"/>
      <charset val="128"/>
      <scheme val="minor"/>
    </font>
    <font>
      <i/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4" fillId="0" borderId="0" xfId="0" applyFon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>
      <alignment vertical="center"/>
    </xf>
    <xf numFmtId="178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5" fillId="0" borderId="1" xfId="0" applyFont="1" applyBorder="1">
      <alignment vertical="center"/>
    </xf>
    <xf numFmtId="0" fontId="0" fillId="2" borderId="2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2" borderId="2" xfId="0" applyNumberFormat="1" applyFill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7" fillId="0" borderId="3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176" fontId="0" fillId="0" borderId="3" xfId="0" applyNumberFormat="1" applyBorder="1" applyAlignment="1">
      <alignment horizontal="centerContinuous" vertical="center"/>
    </xf>
    <xf numFmtId="176" fontId="0" fillId="0" borderId="4" xfId="0" applyNumberFormat="1" applyBorder="1" applyAlignment="1">
      <alignment horizontal="centerContinuous" vertical="center"/>
    </xf>
    <xf numFmtId="0" fontId="0" fillId="0" borderId="5" xfId="0" applyBorder="1" applyAlignment="1">
      <alignment horizontal="centerContinuous" vertical="center"/>
    </xf>
  </cellXfs>
  <cellStyles count="1">
    <cellStyle name="標準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0;&quot;▲ &quot;0"/>
      <alignment horizontal="center" vertical="center" textRotation="0" wrapText="0" indent="0" justifyLastLine="0" shrinkToFit="0" readingOrder="0"/>
    </dxf>
    <dxf>
      <numFmt numFmtId="176" formatCode="0;&quot;▲ &quot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0" formatCode="General"/>
    </dxf>
    <dxf>
      <numFmt numFmtId="177" formatCode="0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numFmt numFmtId="177" formatCode="0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178" formatCode="0&quot;月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177" formatCode="0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177" formatCode="0&quot;h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zu" refreshedDate="46083.025584606483" createdVersion="8" refreshedVersion="8" minRefreshableVersion="3" recordCount="176" xr:uid="{9FD95844-7942-884B-A110-6E0F821207E3}">
  <cacheSource type="worksheet">
    <worksheetSource ref="A1:R177" sheet="FY27工数"/>
  </cacheSource>
  <cacheFields count="18">
    <cacheField name="Eng." numFmtId="0">
      <sharedItems/>
    </cacheField>
    <cacheField name="大カテゴリ" numFmtId="0">
      <sharedItems count="5">
        <s v="ITGC"/>
        <s v="ITAC"/>
        <s v="IPE"/>
        <s v="個別工数"/>
        <s v="共通工数"/>
      </sharedItems>
    </cacheField>
    <cacheField name="中カテゴリ" numFmtId="0">
      <sharedItems/>
    </cacheField>
    <cacheField name="タスクID" numFmtId="0">
      <sharedItems containsBlank="1"/>
    </cacheField>
    <cacheField name="タスク名" numFmtId="0">
      <sharedItems count="108">
        <s v="勘定系"/>
        <s v="勘定系・融資支援(MCインフラ束ね)"/>
        <s v="勘定系・融資支援(MO障害束ね)"/>
        <s v="融資支援"/>
        <s v="融資支援(MO束ね)"/>
        <s v="デ直束ね(融資支援・個人ローン・国際勘定)"/>
        <s v="本部決算(MAアプリ・MAインフラ)"/>
        <s v="(FFG) 勘定奉行＊"/>
        <s v="(FFG) 連結納税＊"/>
        <s v="MC束ね(本部決裁・個人ローン・投資経費)"/>
        <s v="MC束ね(不動産・人事・Siatol・国際・収益・財務・時価・固定資産)"/>
        <s v="Siatol MC"/>
        <s v="Siatol MO"/>
        <s v="MA(不動産・人事・Siatol・財務・時価)"/>
        <s v="国際勘定(MA)"/>
        <s v="Siatol(MAアプリ、MAインフラ)"/>
        <s v="時価開示(MAインフラ)"/>
        <s v="MO束ね(本部決裁・不動産・人事・時価・固定・FFG勘定奉行)"/>
        <s v="MOバックアップ束ね(Siatol・個人ローン・国際・収益・時価)"/>
        <s v="MO障害束ね(Siatol・個人ローン・国際・収益・時価)"/>
        <s v="投資経費(MA,MO)"/>
        <s v="固定資産(MA)"/>
        <s v="退職給付債務計算ソフト"/>
        <s v="honorJS"/>
        <s v="RPA"/>
        <s v="PRASa"/>
        <s v="FFGクラウド(AWS) 束ね"/>
        <s v="(旧) 人事情報システム(MC, MA, MO)"/>
        <s v="(新)人事情報システム(相補的)"/>
        <s v="(新)人事情報システム(MA)"/>
        <s v="(新)人事情報システム(SOC)"/>
        <s v="勘定系移行評価(基盤)9月"/>
        <s v="勘定系移行評価(基盤)1月"/>
        <s v="国際勘定系移行評価(基盤)"/>
        <s v="ローン自動審査移行評価(基盤)"/>
        <s v="人事情報システム移行評価(クラウド基盤)"/>
        <s v="資金証券(Siatol~NE, FM)移行評価"/>
        <s v="資金証券(Siatol~NE, FM)新プロセス評価"/>
        <s v="特権ID管理システム(iOperation)"/>
        <s v="特権ID管理システム(AccessCheck)"/>
        <s v="データエントリー"/>
        <s v="市場金利情報伝送"/>
        <s v="個人IB"/>
        <s v="法人IB"/>
        <s v="BancMeasure+"/>
        <s v="自動仕訳システム"/>
        <s v="(FFG)リスク管理高度化"/>
        <s v="サミット(VISA)"/>
        <s v="ジニアス(JCB)"/>
        <s v="Nomura i-Port"/>
        <s v="BESTWAY"/>
        <s v="FFGカード関連外部サービス"/>
        <s v="ポジショニング図の作成"/>
        <s v="格付自己査定・貸出金SCOTのDFD作成"/>
        <s v="格付自己査定・貸出金SCOT_データフロー観点のリスク・統制の識別"/>
        <s v="格付自己査定・貸出金SCOT_既存SCOT調書でのリスク・統制識別との比較"/>
        <s v="格付自己査定・貸出金SCOT_プロセス・リスク・統制識別に係るコアナームレピ"/>
        <s v="格付自己査定・貸出金SCOT_WT追加依頼リストの作成"/>
        <s v="格付自己査定・貸出金SCOT_ITAC評価調書(差分版)の作成(BITACso)"/>
        <s v="格付自己査定・貸出金SCOT_調書レビュー"/>
        <s v="為替・金利SCOTのDFD更新"/>
        <s v="既存ITAC_格付自己査定プロセスのITAC評価(BITACs)"/>
        <s v="既存ITAC_調書レビュー"/>
        <s v="IPE評価調書(EYJP265及び別紙)の作成"/>
        <s v="IPE評価調書_調書レビュー"/>
        <s v="貸引EUC_依頼リストの作成_中間"/>
        <s v="貸引EUC_検証調書の作成_中間"/>
        <s v="貸引EUC_依頼リストの作成_期末"/>
        <s v="貸引EUC_検証調書の作成_期末"/>
        <s v="貸引EUC_調書レビュー"/>
        <s v="SmartAudit計画書/結果説明への対応"/>
        <s v="MNG-Consumer Lending Analyzer対応"/>
        <s v="BOF:Cash Analyzer対応"/>
        <s v="AWS基盤の調書束ね"/>
        <s v="EYJP265の調書フォーマット変更"/>
        <s v="勘定系RCM再検討"/>
        <s v="融資支援RCM再検討"/>
        <s v="サイバーリスク評価"/>
        <s v="JSOX改訂対応"/>
        <s v="勉強会"/>
        <s v="評価結果資料作成"/>
        <s v="依頼リスト確認・依頼フォルダ作成"/>
        <s v="会社向け計画説明資料"/>
        <s v="コアチーム向け計画説明資料"/>
        <s v="計画EDAP会議資料"/>
        <s v="230GL"/>
        <s v="システム概要ワークシート"/>
        <s v="IT環境ワークシート"/>
        <s v="サイバーセキュリティワークシート"/>
        <s v="231GL"/>
        <s v="Form233"/>
        <s v="234GL"/>
        <s v="Form123"/>
        <s v="クライアント調整"/>
        <s v="社内ミーティング"/>
        <s v="レビュワー工数"/>
        <s v="中間アーカイブ対応"/>
        <s v="期末EDAP会議資料"/>
        <s v="EYJP330"/>
        <s v="EYJP250"/>
        <s v="IT評価フォーム"/>
        <s v="SOCD"/>
        <s v="期末Canvasクローズ"/>
        <s v="CIOディスカッション（ディスカッション資料・議事録）＊"/>
        <s v="Siatol Azure SOC評価" u="1"/>
        <s v="子直束ね(融資支援・個人ローン・国際勘定)" u="1"/>
        <s v="本部決裁(MAアプリ・MAインフラ)" u="1"/>
        <s v="人事情報システム移行評価(基盤)" u="1"/>
      </sharedItems>
    </cacheField>
    <cacheField name="(作業用)タスク結合名" numFmtId="0">
      <sharedItems/>
    </cacheField>
    <cacheField name="恒久工数" numFmtId="177">
      <sharedItems containsString="0" containsBlank="1" containsNumber="1" minValue="0" maxValue="45"/>
    </cacheField>
    <cacheField name="一時工数" numFmtId="177">
      <sharedItems containsString="0" containsBlank="1" containsNumber="1" containsInteger="1" minValue="1" maxValue="33"/>
    </cacheField>
    <cacheField name="FY27工数" numFmtId="177">
      <sharedItems containsSemiMixedTypes="0" containsString="0" containsNumber="1" minValue="0" maxValue="45"/>
    </cacheField>
    <cacheField name="FY26工数" numFmtId="177">
      <sharedItems containsSemiMixedTypes="0" containsString="0" containsNumber="1" containsInteger="1" minValue="0" maxValue="52"/>
    </cacheField>
    <cacheField name="増減" numFmtId="176">
      <sharedItems/>
    </cacheField>
    <cacheField name="工数差分" numFmtId="176">
      <sharedItems containsMixedTypes="1" containsNumber="1" minValue="-33" maxValue="33"/>
    </cacheField>
    <cacheField name="実施月" numFmtId="178">
      <sharedItems containsMixedTypes="1" containsNumber="1" containsInteger="1" minValue="2" maxValue="12"/>
    </cacheField>
    <cacheField name="担当1" numFmtId="0">
      <sharedItems containsBlank="1"/>
    </cacheField>
    <cacheField name="担当2" numFmtId="0">
      <sharedItems containsBlank="1"/>
    </cacheField>
    <cacheField name="担当3" numFmtId="0">
      <sharedItems containsBlank="1"/>
    </cacheField>
    <cacheField name="増減理由" numFmtId="0">
      <sharedItems containsBlank="1"/>
    </cacheField>
    <cacheField name="見積根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s v="FFG"/>
    <x v="0"/>
    <s v="WT"/>
    <s v="B9011, B9014, B9015, B9016"/>
    <x v="0"/>
    <s v="FFGITGCWT勘定系"/>
    <n v="41"/>
    <m/>
    <n v="41"/>
    <n v="41"/>
    <s v=""/>
    <s v=""/>
    <n v="9"/>
    <s v="A"/>
    <s v="B"/>
    <s v="C"/>
    <m/>
    <m/>
  </r>
  <r>
    <s v="FFG"/>
    <x v="0"/>
    <s v="TOC"/>
    <s v="B9011, B9014, B9015, B9016"/>
    <x v="0"/>
    <s v="FFGITGCTOC勘定系"/>
    <n v="45"/>
    <m/>
    <n v="45"/>
    <n v="45"/>
    <s v=""/>
    <s v=""/>
    <n v="2"/>
    <m/>
    <m/>
    <m/>
    <m/>
    <m/>
  </r>
  <r>
    <s v="FFG"/>
    <x v="0"/>
    <s v="RF"/>
    <s v="B9011, B9014, B9015, B9016"/>
    <x v="0"/>
    <s v="FFGITGCRF勘定系"/>
    <n v="11"/>
    <m/>
    <n v="11"/>
    <n v="11"/>
    <s v=""/>
    <s v=""/>
    <n v="4"/>
    <m/>
    <m/>
    <m/>
    <m/>
    <m/>
  </r>
  <r>
    <s v="FFG"/>
    <x v="0"/>
    <s v="WT"/>
    <s v="B90A2"/>
    <x v="1"/>
    <s v="FFGITGCWT勘定系・融資支援(MCインフラ束ね)"/>
    <n v="10"/>
    <m/>
    <n v="10"/>
    <n v="10"/>
    <s v=""/>
    <s v=""/>
    <n v="9"/>
    <m/>
    <m/>
    <m/>
    <m/>
    <m/>
  </r>
  <r>
    <s v="FFG"/>
    <x v="0"/>
    <s v="TOC"/>
    <s v="B90A2"/>
    <x v="1"/>
    <s v="FFGITGCTOC勘定系・融資支援(MCインフラ束ね)"/>
    <n v="12"/>
    <m/>
    <n v="12"/>
    <n v="12"/>
    <s v=""/>
    <s v=""/>
    <n v="2"/>
    <m/>
    <m/>
    <m/>
    <m/>
    <m/>
  </r>
  <r>
    <s v="FFG"/>
    <x v="0"/>
    <s v="RF"/>
    <s v="B90A2"/>
    <x v="1"/>
    <s v="FFGITGCRF勘定系・融資支援(MCインフラ束ね)"/>
    <n v="4"/>
    <m/>
    <n v="4"/>
    <n v="4"/>
    <s v=""/>
    <s v=""/>
    <n v="4"/>
    <m/>
    <m/>
    <m/>
    <m/>
    <m/>
  </r>
  <r>
    <s v="FFG"/>
    <x v="0"/>
    <s v="WT"/>
    <s v="B90A6"/>
    <x v="2"/>
    <s v="FFGITGCWT勘定系・融資支援(MO障害束ね)"/>
    <n v="10"/>
    <m/>
    <n v="10"/>
    <n v="10"/>
    <s v=""/>
    <s v=""/>
    <n v="9"/>
    <m/>
    <m/>
    <m/>
    <m/>
    <m/>
  </r>
  <r>
    <s v="FFG"/>
    <x v="0"/>
    <s v="TOC"/>
    <s v="B90A6"/>
    <x v="2"/>
    <s v="FFGITGCTOC勘定系・融資支援(MO障害束ね)"/>
    <n v="12"/>
    <m/>
    <n v="12"/>
    <n v="12"/>
    <s v=""/>
    <s v=""/>
    <n v="2"/>
    <m/>
    <m/>
    <m/>
    <m/>
    <m/>
  </r>
  <r>
    <s v="FFG"/>
    <x v="0"/>
    <s v="RF"/>
    <s v="B90A6"/>
    <x v="2"/>
    <s v="FFGITGCRF勘定系・融資支援(MO障害束ね)"/>
    <n v="4"/>
    <m/>
    <n v="4"/>
    <n v="4"/>
    <s v=""/>
    <s v=""/>
    <n v="4"/>
    <m/>
    <m/>
    <m/>
    <m/>
    <m/>
  </r>
  <r>
    <s v="FFG"/>
    <x v="0"/>
    <s v="WT"/>
    <s v="B9021, B9023, B9024"/>
    <x v="3"/>
    <s v="FFGITGCWT融資支援"/>
    <n v="33"/>
    <m/>
    <n v="33"/>
    <n v="33"/>
    <s v=""/>
    <s v=""/>
    <n v="9"/>
    <m/>
    <m/>
    <m/>
    <m/>
    <m/>
  </r>
  <r>
    <s v="FFG"/>
    <x v="0"/>
    <s v="TOC"/>
    <s v="B9021, B9023, B9024"/>
    <x v="3"/>
    <s v="FFGITGCTOC融資支援"/>
    <n v="45"/>
    <m/>
    <n v="45"/>
    <n v="45"/>
    <s v=""/>
    <s v=""/>
    <n v="2"/>
    <m/>
    <m/>
    <m/>
    <m/>
    <m/>
  </r>
  <r>
    <s v="FFG"/>
    <x v="0"/>
    <s v="RF"/>
    <s v="B9021, B9023, B9024"/>
    <x v="3"/>
    <s v="FFGITGCRF融資支援"/>
    <n v="6"/>
    <m/>
    <n v="6"/>
    <n v="6"/>
    <s v=""/>
    <s v=""/>
    <n v="4"/>
    <m/>
    <m/>
    <m/>
    <m/>
    <m/>
  </r>
  <r>
    <s v="FFG"/>
    <x v="0"/>
    <s v="WT"/>
    <s v="B9026"/>
    <x v="4"/>
    <s v="FFGITGCWT融資支援(MO束ね)"/>
    <n v="7"/>
    <m/>
    <n v="7"/>
    <n v="7"/>
    <s v=""/>
    <s v=""/>
    <n v="9"/>
    <m/>
    <m/>
    <m/>
    <m/>
    <m/>
  </r>
  <r>
    <s v="FFG"/>
    <x v="0"/>
    <s v="TOC"/>
    <s v="B9026"/>
    <x v="4"/>
    <s v="FFGITGCTOC融資支援(MO束ね)"/>
    <n v="8"/>
    <m/>
    <n v="8"/>
    <n v="8"/>
    <s v=""/>
    <s v=""/>
    <n v="2"/>
    <m/>
    <m/>
    <m/>
    <m/>
    <m/>
  </r>
  <r>
    <s v="FFG"/>
    <x v="0"/>
    <s v="RF"/>
    <s v="B9026"/>
    <x v="4"/>
    <s v="FFGITGCRF融資支援(MO束ね)"/>
    <n v="4"/>
    <m/>
    <n v="4"/>
    <n v="4"/>
    <s v=""/>
    <s v=""/>
    <n v="4"/>
    <m/>
    <m/>
    <m/>
    <m/>
    <m/>
  </r>
  <r>
    <s v="FFG"/>
    <x v="0"/>
    <s v="WT"/>
    <s v="B90H5"/>
    <x v="5"/>
    <s v="FFGITGCWTデ直束ね(融資支援・個人ローン・国際勘定)"/>
    <n v="17"/>
    <m/>
    <n v="17"/>
    <n v="17"/>
    <s v=""/>
    <s v=""/>
    <n v="9"/>
    <m/>
    <m/>
    <m/>
    <m/>
    <m/>
  </r>
  <r>
    <s v="FFG"/>
    <x v="0"/>
    <s v="TOC"/>
    <s v="B90H5"/>
    <x v="5"/>
    <s v="FFGITGCTOCデ直束ね(融資支援・個人ローン・国際勘定)"/>
    <n v="18"/>
    <m/>
    <n v="18"/>
    <n v="18"/>
    <s v=""/>
    <s v=""/>
    <n v="2"/>
    <m/>
    <m/>
    <m/>
    <m/>
    <m/>
  </r>
  <r>
    <s v="FFG"/>
    <x v="0"/>
    <s v="RF"/>
    <s v="B90H5"/>
    <x v="5"/>
    <s v="FFGITGCRFデ直束ね(融資支援・個人ローン・国際勘定)"/>
    <n v="4"/>
    <m/>
    <n v="4"/>
    <n v="4"/>
    <s v=""/>
    <s v=""/>
    <n v="4"/>
    <m/>
    <m/>
    <m/>
    <m/>
    <m/>
  </r>
  <r>
    <s v="FFG"/>
    <x v="0"/>
    <s v="WT"/>
    <m/>
    <x v="6"/>
    <s v="FFGITGCWT本部決算(MAアプリ・MAインフラ)"/>
    <n v="11"/>
    <m/>
    <n v="11"/>
    <n v="11"/>
    <s v=""/>
    <s v=""/>
    <n v="9"/>
    <m/>
    <m/>
    <m/>
    <m/>
    <m/>
  </r>
  <r>
    <s v="FFG"/>
    <x v="0"/>
    <s v="TOC"/>
    <m/>
    <x v="6"/>
    <s v="FFGITGCTOC本部決算(MAアプリ・MAインフラ)"/>
    <n v="11"/>
    <m/>
    <n v="11"/>
    <n v="11"/>
    <s v=""/>
    <s v=""/>
    <n v="2"/>
    <m/>
    <m/>
    <m/>
    <m/>
    <m/>
  </r>
  <r>
    <s v="FFG"/>
    <x v="0"/>
    <s v="RF"/>
    <m/>
    <x v="6"/>
    <s v="FFGITGCRF本部決算(MAアプリ・MAインフラ)"/>
    <n v="4"/>
    <m/>
    <n v="4"/>
    <n v="4"/>
    <s v=""/>
    <s v=""/>
    <n v="4"/>
    <m/>
    <m/>
    <m/>
    <m/>
    <m/>
  </r>
  <r>
    <s v="FFG"/>
    <x v="0"/>
    <s v="WT"/>
    <m/>
    <x v="7"/>
    <s v="FFGITGCWT(FFG) 勘定奉行＊"/>
    <n v="6"/>
    <m/>
    <n v="6"/>
    <n v="6"/>
    <s v=""/>
    <s v=""/>
    <n v="9"/>
    <m/>
    <m/>
    <m/>
    <m/>
    <m/>
  </r>
  <r>
    <s v="FFG"/>
    <x v="0"/>
    <s v="TOC"/>
    <m/>
    <x v="7"/>
    <s v="FFGITGCTOC(FFG) 勘定奉行＊"/>
    <n v="6"/>
    <m/>
    <n v="6"/>
    <n v="6"/>
    <s v=""/>
    <s v=""/>
    <n v="2"/>
    <m/>
    <m/>
    <m/>
    <m/>
    <m/>
  </r>
  <r>
    <s v="FFG"/>
    <x v="0"/>
    <s v="RF"/>
    <m/>
    <x v="7"/>
    <s v="FFGITGCRF(FFG) 勘定奉行＊"/>
    <n v="4"/>
    <m/>
    <n v="4"/>
    <n v="4"/>
    <s v=""/>
    <s v=""/>
    <n v="4"/>
    <m/>
    <m/>
    <m/>
    <m/>
    <m/>
  </r>
  <r>
    <s v="FFG"/>
    <x v="0"/>
    <s v="WT"/>
    <m/>
    <x v="8"/>
    <s v="FFGITGCWT(FFG) 連結納税＊"/>
    <n v="6"/>
    <m/>
    <n v="6"/>
    <n v="6"/>
    <s v=""/>
    <s v=""/>
    <n v="9"/>
    <m/>
    <m/>
    <m/>
    <m/>
    <m/>
  </r>
  <r>
    <s v="FFG"/>
    <x v="0"/>
    <s v="TOC"/>
    <m/>
    <x v="8"/>
    <s v="FFGITGCTOC(FFG) 連結納税＊"/>
    <n v="6"/>
    <m/>
    <n v="6"/>
    <n v="6"/>
    <s v=""/>
    <s v=""/>
    <n v="2"/>
    <m/>
    <m/>
    <m/>
    <m/>
    <m/>
  </r>
  <r>
    <s v="FFG"/>
    <x v="0"/>
    <s v="RF"/>
    <m/>
    <x v="8"/>
    <s v="FFGITGCRF(FFG) 連結納税＊"/>
    <n v="5"/>
    <m/>
    <n v="5"/>
    <n v="5"/>
    <s v=""/>
    <s v=""/>
    <n v="4"/>
    <m/>
    <m/>
    <m/>
    <m/>
    <m/>
  </r>
  <r>
    <s v="FFG"/>
    <x v="0"/>
    <s v="WT"/>
    <s v="B90B1"/>
    <x v="9"/>
    <s v="FFGITGCWTMC束ね(本部決裁・個人ローン・投資経費)"/>
    <n v="19"/>
    <m/>
    <n v="19"/>
    <n v="19"/>
    <s v=""/>
    <s v=""/>
    <n v="9"/>
    <m/>
    <m/>
    <m/>
    <m/>
    <m/>
  </r>
  <r>
    <s v="FFG"/>
    <x v="0"/>
    <s v="TOC"/>
    <s v="B90B1"/>
    <x v="9"/>
    <s v="FFGITGCTOCMC束ね(本部決裁・個人ローン・投資経費)"/>
    <n v="21"/>
    <m/>
    <n v="21"/>
    <n v="21"/>
    <s v=""/>
    <s v=""/>
    <n v="2"/>
    <m/>
    <m/>
    <m/>
    <m/>
    <m/>
  </r>
  <r>
    <s v="FFG"/>
    <x v="0"/>
    <s v="RF"/>
    <s v="B90B1"/>
    <x v="9"/>
    <s v="FFGITGCRFMC束ね(本部決裁・個人ローン・投資経費)"/>
    <n v="6"/>
    <m/>
    <n v="6"/>
    <n v="6"/>
    <s v=""/>
    <s v=""/>
    <n v="4"/>
    <m/>
    <m/>
    <m/>
    <m/>
    <m/>
  </r>
  <r>
    <s v="FFG"/>
    <x v="0"/>
    <s v="WT"/>
    <s v="B90C1"/>
    <x v="10"/>
    <s v="FFGITGCWTMC束ね(不動産・人事・Siatol・国際・収益・財務・時価・固定資産)"/>
    <n v="18"/>
    <n v="1"/>
    <n v="19"/>
    <n v="19"/>
    <s v="内訳変更"/>
    <s v=""/>
    <n v="9"/>
    <m/>
    <m/>
    <m/>
    <s v="人事情報束ね分離"/>
    <m/>
  </r>
  <r>
    <s v="FFG"/>
    <x v="0"/>
    <s v="TOC"/>
    <s v="B90C1"/>
    <x v="10"/>
    <s v="FFGITGCTOCMC束ね(不動産・人事・Siatol・国際・収益・財務・時価・固定資産)"/>
    <n v="20"/>
    <n v="1"/>
    <n v="21"/>
    <n v="21"/>
    <s v="内訳変更"/>
    <s v=""/>
    <n v="2"/>
    <m/>
    <m/>
    <m/>
    <s v="人事情報束ね分離"/>
    <m/>
  </r>
  <r>
    <s v="FFG"/>
    <x v="0"/>
    <s v="RF"/>
    <s v="B90C1"/>
    <x v="10"/>
    <s v="FFGITGCRFMC束ね(不動産・人事・Siatol・国際・収益・財務・時価・固定資産)"/>
    <n v="7"/>
    <m/>
    <n v="7"/>
    <n v="7"/>
    <s v=""/>
    <s v=""/>
    <n v="4"/>
    <m/>
    <m/>
    <m/>
    <m/>
    <m/>
  </r>
  <r>
    <s v="FFG"/>
    <x v="0"/>
    <s v="WT"/>
    <m/>
    <x v="11"/>
    <s v="FFGITGCWTSiatol MC"/>
    <n v="7"/>
    <n v="3"/>
    <n v="10"/>
    <n v="0"/>
    <s v="追加"/>
    <n v="10"/>
    <n v="9"/>
    <m/>
    <m/>
    <m/>
    <s v="FY27 Siatolのクラウド更改"/>
    <m/>
  </r>
  <r>
    <s v="FFG"/>
    <x v="0"/>
    <s v="WT"/>
    <m/>
    <x v="12"/>
    <s v="FFGITGCWTSiatol MO"/>
    <n v="6"/>
    <n v="2"/>
    <n v="8"/>
    <n v="0"/>
    <s v="追加"/>
    <n v="8"/>
    <n v="9"/>
    <m/>
    <m/>
    <m/>
    <s v="FY27 Siatolのクラウド更改"/>
    <m/>
  </r>
  <r>
    <s v="FFG"/>
    <x v="0"/>
    <s v="WT"/>
    <m/>
    <x v="13"/>
    <s v="FFGITGCWTMA(不動産・人事・Siatol・財務・時価)"/>
    <n v="18"/>
    <n v="2"/>
    <n v="20"/>
    <n v="19"/>
    <s v="変更"/>
    <n v="1"/>
    <n v="9"/>
    <m/>
    <m/>
    <m/>
    <s v="人事情報束ね分離"/>
    <m/>
  </r>
  <r>
    <s v="FFG"/>
    <x v="0"/>
    <s v="TOC"/>
    <m/>
    <x v="13"/>
    <s v="FFGITGCTOCMA(不動産・人事・Siatol・財務・時価)"/>
    <n v="20"/>
    <n v="3"/>
    <n v="23"/>
    <n v="21"/>
    <s v="変更"/>
    <n v="2"/>
    <n v="2"/>
    <m/>
    <m/>
    <m/>
    <s v="人事情報束ね分離"/>
    <m/>
  </r>
  <r>
    <s v="FFG"/>
    <x v="0"/>
    <s v="RF"/>
    <m/>
    <x v="13"/>
    <s v="FFGITGCRFMA(不動産・人事・Siatol・財務・時価)"/>
    <n v="7"/>
    <m/>
    <n v="7"/>
    <n v="7"/>
    <s v=""/>
    <s v=""/>
    <n v="4"/>
    <m/>
    <m/>
    <m/>
    <m/>
    <m/>
  </r>
  <r>
    <s v="FFG"/>
    <x v="0"/>
    <s v="WT"/>
    <s v="B9093"/>
    <x v="14"/>
    <s v="FFGITGCWT国際勘定(MA)"/>
    <n v="7"/>
    <m/>
    <n v="7"/>
    <n v="7"/>
    <s v=""/>
    <s v=""/>
    <n v="9"/>
    <m/>
    <m/>
    <m/>
    <m/>
    <m/>
  </r>
  <r>
    <s v="FFG"/>
    <x v="0"/>
    <s v="TOC"/>
    <s v="B9093"/>
    <x v="14"/>
    <s v="FFGITGCTOC国際勘定(MA)"/>
    <n v="8"/>
    <m/>
    <n v="8"/>
    <n v="8"/>
    <s v=""/>
    <s v=""/>
    <n v="2"/>
    <m/>
    <m/>
    <m/>
    <m/>
    <m/>
  </r>
  <r>
    <s v="FFG"/>
    <x v="0"/>
    <s v="RF"/>
    <s v="B9093"/>
    <x v="14"/>
    <s v="FFGITGCRF国際勘定(MA)"/>
    <n v="3"/>
    <m/>
    <n v="3"/>
    <n v="3"/>
    <s v=""/>
    <s v=""/>
    <n v="4"/>
    <m/>
    <m/>
    <m/>
    <m/>
    <m/>
  </r>
  <r>
    <s v="FFG"/>
    <x v="0"/>
    <s v="WT"/>
    <s v="B90G3, B90G4"/>
    <x v="15"/>
    <s v="FFGITGCWTSiatol(MAアプリ、MAインフラ)"/>
    <n v="10"/>
    <n v="10"/>
    <n v="20"/>
    <n v="10"/>
    <s v="変更"/>
    <n v="10"/>
    <n v="9"/>
    <m/>
    <m/>
    <m/>
    <s v="FY27 Siatolのクラウド更改"/>
    <m/>
  </r>
  <r>
    <s v="FFG"/>
    <x v="0"/>
    <s v="TOC"/>
    <s v="B90G3, B90G4"/>
    <x v="15"/>
    <s v="FFGITGCTOCSiatol(MAアプリ、MAインフラ)"/>
    <n v="0"/>
    <m/>
    <n v="0"/>
    <n v="11"/>
    <s v="削除"/>
    <n v="-11"/>
    <n v="2"/>
    <m/>
    <m/>
    <m/>
    <s v="FY27 Siatolのクラウド更改"/>
    <m/>
  </r>
  <r>
    <s v="FFG"/>
    <x v="0"/>
    <s v="RF"/>
    <s v="B90G3, B90G4"/>
    <x v="15"/>
    <s v="FFGITGCRFSiatol(MAアプリ、MAインフラ)"/>
    <n v="0"/>
    <m/>
    <n v="0"/>
    <n v="4"/>
    <s v="削除"/>
    <n v="-4"/>
    <n v="4"/>
    <m/>
    <m/>
    <m/>
    <s v="FY27 Siatolのクラウド更改"/>
    <m/>
  </r>
  <r>
    <s v="FFG"/>
    <x v="0"/>
    <s v="WT"/>
    <s v="B9154"/>
    <x v="16"/>
    <s v="FFGITGCWT時価開示(MAインフラ)"/>
    <n v="6"/>
    <m/>
    <n v="6"/>
    <n v="6"/>
    <s v=""/>
    <s v=""/>
    <n v="9"/>
    <m/>
    <m/>
    <m/>
    <m/>
    <m/>
  </r>
  <r>
    <s v="FFG"/>
    <x v="0"/>
    <s v="TOC"/>
    <s v="B9154"/>
    <x v="16"/>
    <s v="FFGITGCTOC時価開示(MAインフラ)"/>
    <n v="7"/>
    <m/>
    <n v="7"/>
    <n v="7"/>
    <s v=""/>
    <s v=""/>
    <n v="2"/>
    <m/>
    <m/>
    <m/>
    <m/>
    <m/>
  </r>
  <r>
    <s v="FFG"/>
    <x v="0"/>
    <s v="RF"/>
    <s v="B9154"/>
    <x v="16"/>
    <s v="FFGITGCRF時価開示(MAインフラ)"/>
    <n v="3"/>
    <m/>
    <n v="3"/>
    <n v="3"/>
    <s v=""/>
    <s v=""/>
    <n v="4"/>
    <m/>
    <m/>
    <m/>
    <m/>
    <m/>
  </r>
  <r>
    <s v="FFG"/>
    <x v="0"/>
    <s v="WT"/>
    <s v="B90E6"/>
    <x v="17"/>
    <s v="FFGITGCWTMO束ね(本部決裁・不動産・人事・時価・固定・FFG勘定奉行)"/>
    <n v="13"/>
    <n v="1"/>
    <n v="14"/>
    <n v="13"/>
    <s v="変更"/>
    <n v="1"/>
    <n v="9"/>
    <m/>
    <m/>
    <m/>
    <s v="人事情報束ね分離"/>
    <s v="1h束ね記載削除"/>
  </r>
  <r>
    <s v="FFG"/>
    <x v="0"/>
    <s v="TOC"/>
    <s v="B90E6"/>
    <x v="17"/>
    <s v="FFGITGCTOCMO束ね(本部決裁・不動産・人事・時価・固定・FFG勘定奉行)"/>
    <n v="14"/>
    <n v="1"/>
    <n v="15"/>
    <n v="14"/>
    <s v="変更"/>
    <n v="1"/>
    <n v="2"/>
    <m/>
    <m/>
    <m/>
    <s v="人事情報束ね分離"/>
    <s v="1h束ね記載削除"/>
  </r>
  <r>
    <s v="FFG"/>
    <x v="0"/>
    <s v="RF"/>
    <s v="B90E6"/>
    <x v="17"/>
    <s v="FFGITGCRFMO束ね(本部決裁・不動産・人事・時価・固定・FFG勘定奉行)"/>
    <n v="6"/>
    <m/>
    <n v="6"/>
    <n v="6"/>
    <s v=""/>
    <s v=""/>
    <n v="4"/>
    <m/>
    <m/>
    <m/>
    <s v="人事情報束ね分離"/>
    <s v="1h束ね記載削除"/>
  </r>
  <r>
    <s v="FFG"/>
    <x v="0"/>
    <s v="WT"/>
    <s v="B90F6"/>
    <x v="18"/>
    <s v="FFGITGCWTMOバックアップ束ね(Siatol・個人ローン・国際・収益・時価)"/>
    <n v="10"/>
    <m/>
    <n v="10"/>
    <n v="10"/>
    <s v=""/>
    <s v=""/>
    <n v="9"/>
    <m/>
    <m/>
    <m/>
    <m/>
    <m/>
  </r>
  <r>
    <s v="FFG"/>
    <x v="0"/>
    <s v="TOC"/>
    <s v="B90F6"/>
    <x v="18"/>
    <s v="FFGITGCTOCMOバックアップ束ね(Siatol・個人ローン・国際・収益・時価)"/>
    <n v="11"/>
    <m/>
    <n v="11"/>
    <n v="11"/>
    <s v=""/>
    <s v=""/>
    <n v="2"/>
    <m/>
    <m/>
    <m/>
    <m/>
    <m/>
  </r>
  <r>
    <s v="FFG"/>
    <x v="0"/>
    <s v="RF"/>
    <s v="B90F6"/>
    <x v="18"/>
    <s v="FFGITGCRFMOバックアップ束ね(Siatol・個人ローン・国際・収益・時価)"/>
    <n v="4"/>
    <m/>
    <n v="4"/>
    <n v="4"/>
    <s v=""/>
    <s v=""/>
    <n v="4"/>
    <m/>
    <m/>
    <m/>
    <m/>
    <m/>
  </r>
  <r>
    <s v="FFG"/>
    <x v="0"/>
    <s v="WT"/>
    <s v="B90F6"/>
    <x v="19"/>
    <s v="FFGITGCWTMO障害束ね(Siatol・個人ローン・国際・収益・時価)"/>
    <n v="10"/>
    <m/>
    <n v="10"/>
    <n v="10"/>
    <s v=""/>
    <s v=""/>
    <n v="9"/>
    <m/>
    <m/>
    <m/>
    <m/>
    <m/>
  </r>
  <r>
    <s v="FFG"/>
    <x v="0"/>
    <s v="TOC"/>
    <s v="B90F6"/>
    <x v="19"/>
    <s v="FFGITGCTOCMO障害束ね(Siatol・個人ローン・国際・収益・時価)"/>
    <n v="11"/>
    <m/>
    <n v="11"/>
    <n v="11"/>
    <s v=""/>
    <s v=""/>
    <n v="2"/>
    <m/>
    <m/>
    <m/>
    <m/>
    <m/>
  </r>
  <r>
    <s v="FFG"/>
    <x v="0"/>
    <s v="RF"/>
    <s v="B90F6"/>
    <x v="19"/>
    <s v="FFGITGCRFMO障害束ね(Siatol・個人ローン・国際・収益・時価)"/>
    <n v="4"/>
    <m/>
    <n v="4"/>
    <n v="4"/>
    <s v=""/>
    <s v=""/>
    <n v="4"/>
    <m/>
    <m/>
    <m/>
    <m/>
    <m/>
  </r>
  <r>
    <s v="FFG"/>
    <x v="0"/>
    <s v="WT"/>
    <m/>
    <x v="20"/>
    <s v="FFGITGCWT投資経費(MA,MO)"/>
    <n v="10"/>
    <m/>
    <n v="10"/>
    <n v="10"/>
    <s v=""/>
    <s v=""/>
    <n v="9"/>
    <m/>
    <m/>
    <m/>
    <m/>
    <m/>
  </r>
  <r>
    <s v="FFG"/>
    <x v="0"/>
    <s v="TOC"/>
    <m/>
    <x v="20"/>
    <s v="FFGITGCTOC投資経費(MA,MO)"/>
    <n v="11"/>
    <m/>
    <n v="11"/>
    <n v="11"/>
    <s v=""/>
    <s v=""/>
    <n v="2"/>
    <m/>
    <m/>
    <m/>
    <m/>
    <m/>
  </r>
  <r>
    <s v="FFG"/>
    <x v="0"/>
    <s v="RF"/>
    <m/>
    <x v="20"/>
    <s v="FFGITGCRF投資経費(MA,MO)"/>
    <n v="4"/>
    <m/>
    <n v="4"/>
    <n v="4"/>
    <s v=""/>
    <s v=""/>
    <n v="4"/>
    <m/>
    <m/>
    <m/>
    <m/>
    <m/>
  </r>
  <r>
    <s v="FFG"/>
    <x v="0"/>
    <s v="WT"/>
    <s v="B9173"/>
    <x v="21"/>
    <s v="FFGITGCWT固定資産(MA)"/>
    <n v="7"/>
    <m/>
    <n v="7"/>
    <n v="7"/>
    <s v=""/>
    <s v=""/>
    <n v="9"/>
    <m/>
    <m/>
    <m/>
    <m/>
    <m/>
  </r>
  <r>
    <s v="FFG"/>
    <x v="0"/>
    <s v="TOC"/>
    <s v="B9173"/>
    <x v="21"/>
    <s v="FFGITGCTOC固定資産(MA)"/>
    <n v="8"/>
    <m/>
    <n v="8"/>
    <n v="8"/>
    <s v=""/>
    <s v=""/>
    <n v="2"/>
    <m/>
    <m/>
    <m/>
    <m/>
    <m/>
  </r>
  <r>
    <s v="FFG"/>
    <x v="0"/>
    <s v="RF"/>
    <s v="B9173"/>
    <x v="21"/>
    <s v="FFGITGCRF固定資産(MA)"/>
    <n v="4"/>
    <m/>
    <n v="4"/>
    <n v="4"/>
    <s v=""/>
    <s v=""/>
    <n v="4"/>
    <m/>
    <m/>
    <m/>
    <m/>
    <m/>
  </r>
  <r>
    <s v="FFG"/>
    <x v="0"/>
    <s v="WT"/>
    <s v="B9129"/>
    <x v="22"/>
    <s v="FFGITGCWT退職給付債務計算ソフト"/>
    <n v="5"/>
    <m/>
    <n v="5"/>
    <n v="5"/>
    <s v=""/>
    <s v=""/>
    <n v="9"/>
    <m/>
    <m/>
    <m/>
    <m/>
    <m/>
  </r>
  <r>
    <s v="FFG"/>
    <x v="0"/>
    <s v="TOC"/>
    <s v="B9129"/>
    <x v="22"/>
    <s v="FFGITGCTOC退職給付債務計算ソフト"/>
    <n v="5"/>
    <m/>
    <n v="5"/>
    <n v="5"/>
    <s v=""/>
    <s v=""/>
    <n v="2"/>
    <m/>
    <m/>
    <m/>
    <m/>
    <m/>
  </r>
  <r>
    <s v="FFG"/>
    <x v="0"/>
    <s v="RF"/>
    <s v="B9129"/>
    <x v="22"/>
    <s v="FFGITGCRF退職給付債務計算ソフト"/>
    <n v="2"/>
    <m/>
    <n v="2"/>
    <n v="2"/>
    <s v=""/>
    <s v=""/>
    <n v="4"/>
    <m/>
    <m/>
    <m/>
    <m/>
    <m/>
  </r>
  <r>
    <s v="FFG"/>
    <x v="0"/>
    <s v="WT"/>
    <s v="B9181, B9183, B9186"/>
    <x v="23"/>
    <s v="FFGITGCWThonorJS"/>
    <n v="17"/>
    <m/>
    <n v="17"/>
    <n v="34"/>
    <s v="変更"/>
    <n v="-17"/>
    <n v="9"/>
    <m/>
    <m/>
    <m/>
    <s v="FY26のFCB対応終了"/>
    <m/>
  </r>
  <r>
    <s v="FFG"/>
    <x v="0"/>
    <s v="TOC"/>
    <s v="B9181, B9183, B9186"/>
    <x v="23"/>
    <s v="FFGITGCTOChonorJS"/>
    <n v="17"/>
    <m/>
    <n v="17"/>
    <n v="17"/>
    <s v=""/>
    <s v=""/>
    <n v="2"/>
    <m/>
    <m/>
    <m/>
    <m/>
    <m/>
  </r>
  <r>
    <s v="FFG"/>
    <x v="0"/>
    <s v="RF"/>
    <s v="B9181, B9183, B9186"/>
    <x v="23"/>
    <s v="FFGITGCRFhonorJS"/>
    <n v="5"/>
    <m/>
    <n v="5"/>
    <n v="5"/>
    <s v=""/>
    <s v=""/>
    <n v="4"/>
    <m/>
    <m/>
    <m/>
    <m/>
    <m/>
  </r>
  <r>
    <s v="FFG"/>
    <x v="0"/>
    <s v="WT"/>
    <s v="B9259"/>
    <x v="24"/>
    <s v="FFGITGCWTRPA"/>
    <n v="17"/>
    <m/>
    <n v="17"/>
    <n v="34"/>
    <s v="変更"/>
    <n v="-17"/>
    <n v="9"/>
    <m/>
    <m/>
    <m/>
    <s v="FY26統制整備完了のため減少"/>
    <m/>
  </r>
  <r>
    <s v="FFG"/>
    <x v="0"/>
    <s v="TOC"/>
    <s v="B9259"/>
    <x v="24"/>
    <s v="FFGITGCTOCRPA"/>
    <n v="25.5"/>
    <m/>
    <n v="25.5"/>
    <n v="0"/>
    <s v="追加"/>
    <n v="25.5"/>
    <n v="2"/>
    <m/>
    <m/>
    <m/>
    <s v="FY27TOC新規実施のため追加"/>
    <m/>
  </r>
  <r>
    <s v="FFG"/>
    <x v="0"/>
    <s v="RF"/>
    <s v="B9259"/>
    <x v="24"/>
    <s v="FFGITGCRFRPA"/>
    <n v="7.5"/>
    <m/>
    <n v="7.5"/>
    <n v="0"/>
    <s v="追加"/>
    <n v="7.5"/>
    <n v="4"/>
    <m/>
    <m/>
    <m/>
    <s v="FY27RF新規実施のため追加"/>
    <m/>
  </r>
  <r>
    <s v="FFG"/>
    <x v="0"/>
    <s v="WT"/>
    <s v="B9279"/>
    <x v="25"/>
    <s v="FFGITGCWTPRASa"/>
    <n v="10"/>
    <m/>
    <n v="10"/>
    <n v="10"/>
    <s v=""/>
    <s v=""/>
    <n v="9"/>
    <m/>
    <m/>
    <m/>
    <m/>
    <m/>
  </r>
  <r>
    <s v="FFG"/>
    <x v="0"/>
    <s v="TOC"/>
    <s v="B9279"/>
    <x v="25"/>
    <s v="FFGITGCTOCPRASa"/>
    <n v="10"/>
    <m/>
    <n v="10"/>
    <n v="10"/>
    <s v=""/>
    <s v=""/>
    <n v="2"/>
    <m/>
    <m/>
    <m/>
    <m/>
    <m/>
  </r>
  <r>
    <s v="FFG"/>
    <x v="0"/>
    <s v="RF"/>
    <s v="B9279"/>
    <x v="25"/>
    <s v="FFGITGCRFPRASa"/>
    <n v="5"/>
    <m/>
    <n v="5"/>
    <n v="5"/>
    <s v=""/>
    <s v=""/>
    <n v="4"/>
    <m/>
    <m/>
    <m/>
    <m/>
    <m/>
  </r>
  <r>
    <s v="FFG"/>
    <x v="0"/>
    <s v="WT"/>
    <m/>
    <x v="26"/>
    <s v="FFGITGCWTFFGクラウド(AWS) 束ね"/>
    <n v="24"/>
    <m/>
    <n v="24"/>
    <n v="10"/>
    <s v="変更"/>
    <n v="14"/>
    <n v="9"/>
    <m/>
    <m/>
    <m/>
    <s v="FY26の想定よりFY27統制数増加のため追加"/>
    <m/>
  </r>
  <r>
    <s v="FFG"/>
    <x v="0"/>
    <s v="TOC"/>
    <m/>
    <x v="26"/>
    <s v="FFGITGCTOCFFGクラウド(AWS) 束ね"/>
    <n v="16"/>
    <m/>
    <n v="16"/>
    <n v="10"/>
    <s v="変更"/>
    <n v="6"/>
    <n v="2"/>
    <m/>
    <m/>
    <m/>
    <s v="FY26の想定よりFY27統制数増加のため追加"/>
    <m/>
  </r>
  <r>
    <s v="FFG"/>
    <x v="0"/>
    <s v="RF"/>
    <m/>
    <x v="26"/>
    <s v="FFGITGCRFFFGクラウド(AWS) 束ね"/>
    <n v="16"/>
    <m/>
    <n v="16"/>
    <n v="5"/>
    <s v="変更"/>
    <n v="11"/>
    <n v="4"/>
    <m/>
    <m/>
    <m/>
    <s v="FY26の想定よりFY27統制数増加のため追加"/>
    <m/>
  </r>
  <r>
    <s v="FFG"/>
    <x v="0"/>
    <s v="WT"/>
    <m/>
    <x v="27"/>
    <s v="FFGITGCWT(旧) 人事情報システム(MC, MA, MO)"/>
    <m/>
    <n v="32"/>
    <n v="32"/>
    <n v="0"/>
    <s v="追加"/>
    <n v="32"/>
    <n v="8"/>
    <m/>
    <m/>
    <m/>
    <s v="2026年8月にクラウド(COMPANY)更改"/>
    <s v="依頼リスト2h, WT/TOC24h, RV2h"/>
  </r>
  <r>
    <s v="FFG"/>
    <x v="0"/>
    <s v="WT"/>
    <m/>
    <x v="28"/>
    <s v="FFGITGCWT(新)人事情報システム(相補的)"/>
    <n v="9"/>
    <n v="9"/>
    <n v="18"/>
    <n v="0"/>
    <s v="追加"/>
    <n v="18"/>
    <n v="9"/>
    <m/>
    <m/>
    <m/>
    <s v="2026年8月にクラウド(COMPANY)更改"/>
    <s v="依頼リスト2h, WT14h, RV2h"/>
  </r>
  <r>
    <s v="FFG"/>
    <x v="0"/>
    <s v="TOC"/>
    <m/>
    <x v="28"/>
    <s v="FFGITGCTOC(新)人事情報システム(相補的)"/>
    <n v="9"/>
    <n v="9"/>
    <n v="18"/>
    <n v="0"/>
    <s v="追加"/>
    <n v="18"/>
    <n v="2"/>
    <m/>
    <m/>
    <m/>
    <s v="2026年8月にクラウド(COMPANY)更改"/>
    <s v="依頼リスト2h, TOC14h, RV2h"/>
  </r>
  <r>
    <s v="FFG"/>
    <x v="0"/>
    <s v="RF"/>
    <m/>
    <x v="28"/>
    <s v="FFGITGCRF(新)人事情報システム(相補的)"/>
    <n v="4"/>
    <n v="4"/>
    <n v="8"/>
    <n v="0"/>
    <s v="追加"/>
    <n v="8"/>
    <n v="4"/>
    <m/>
    <m/>
    <m/>
    <s v="2026年8月にクラウド(COMPANY)更改"/>
    <s v="依頼リスト1h, TOC6h, RV1h"/>
  </r>
  <r>
    <s v="FFG"/>
    <x v="0"/>
    <s v="WT"/>
    <m/>
    <x v="29"/>
    <s v="FFGITGCWT(新)人事情報システム(MA)"/>
    <n v="9"/>
    <n v="9"/>
    <n v="18"/>
    <n v="0"/>
    <s v="追加"/>
    <n v="18"/>
    <n v="9"/>
    <m/>
    <m/>
    <m/>
    <s v="2026年8月にクラウド(COMPANY)更改"/>
    <s v="依頼リスト2h, WT14h, RV2h"/>
  </r>
  <r>
    <s v="FFG"/>
    <x v="0"/>
    <s v="TOC"/>
    <m/>
    <x v="29"/>
    <s v="FFGITGCTOC(新)人事情報システム(MA)"/>
    <n v="9"/>
    <n v="9"/>
    <n v="18"/>
    <n v="0"/>
    <s v="追加"/>
    <n v="18"/>
    <n v="2"/>
    <m/>
    <m/>
    <m/>
    <s v="2026年8月にクラウド(COMPANY)更改"/>
    <s v="依頼リスト2h, TOC14h, RV2h"/>
  </r>
  <r>
    <s v="FFG"/>
    <x v="0"/>
    <s v="RF"/>
    <m/>
    <x v="29"/>
    <s v="FFGITGCRF(新)人事情報システム(MA)"/>
    <n v="4"/>
    <n v="4"/>
    <n v="8"/>
    <n v="0"/>
    <s v="追加"/>
    <n v="8"/>
    <n v="4"/>
    <m/>
    <m/>
    <m/>
    <s v="2026年8月にクラウド(COMPANY)更改"/>
    <m/>
  </r>
  <r>
    <s v="FFG"/>
    <x v="0"/>
    <s v="WT"/>
    <m/>
    <x v="30"/>
    <s v="FFGITGCWT(新)人事情報システム(SOC)"/>
    <n v="1"/>
    <n v="9"/>
    <n v="10"/>
    <n v="0"/>
    <s v="追加"/>
    <n v="10"/>
    <n v="10"/>
    <m/>
    <m/>
    <m/>
    <s v="2026年8月にクラウド(COMPANY)更改"/>
    <s v="依頼リスト1h, SOC7h, RV1h, 質問書1h"/>
  </r>
  <r>
    <s v="FFG"/>
    <x v="0"/>
    <s v="RF"/>
    <m/>
    <x v="30"/>
    <s v="FFGITGCRF(新)人事情報システム(SOC)"/>
    <n v="9"/>
    <n v="2"/>
    <n v="11"/>
    <n v="0"/>
    <s v="追加"/>
    <n v="11"/>
    <n v="4"/>
    <m/>
    <m/>
    <m/>
    <s v="2026年8月にクラウド(COMPANY)更改"/>
    <s v="依頼リスト1h, SOC7h, RV1h"/>
  </r>
  <r>
    <s v="FFG"/>
    <x v="0"/>
    <s v="移行"/>
    <m/>
    <x v="31"/>
    <s v="FFGITGC移行勘定系移行評価(基盤)9月"/>
    <n v="0"/>
    <n v="33"/>
    <n v="33"/>
    <n v="0"/>
    <s v="追加"/>
    <n v="33"/>
    <n v="11"/>
    <m/>
    <m/>
    <m/>
    <s v="2026年9月熊本銀行基盤更改"/>
    <s v="依頼リスト3h, WT24h, RV2h"/>
  </r>
  <r>
    <s v="FFG"/>
    <x v="0"/>
    <s v="移行"/>
    <m/>
    <x v="32"/>
    <s v="FFGITGC移行勘定系移行評価(基盤)1月"/>
    <n v="0"/>
    <n v="19"/>
    <n v="19"/>
    <n v="0"/>
    <s v="追加"/>
    <n v="19"/>
    <n v="3"/>
    <m/>
    <m/>
    <m/>
    <s v="2027年1月福岡銀行基盤更改"/>
    <s v="依頼リスト2h, WT16h, RV1h"/>
  </r>
  <r>
    <s v="FFG"/>
    <x v="0"/>
    <s v="移行"/>
    <m/>
    <x v="33"/>
    <s v="FFGITGC移行国際勘定系移行評価(基盤)"/>
    <n v="0"/>
    <m/>
    <n v="0"/>
    <n v="33"/>
    <s v="削除"/>
    <n v="-33"/>
    <n v="9"/>
    <m/>
    <m/>
    <m/>
    <s v="FY26に移行終了"/>
    <m/>
  </r>
  <r>
    <s v="FFG"/>
    <x v="0"/>
    <s v="移行"/>
    <m/>
    <x v="34"/>
    <s v="FFGITGC移行ローン自動審査移行評価(基盤)"/>
    <n v="0"/>
    <m/>
    <n v="0"/>
    <n v="33"/>
    <s v="削除"/>
    <n v="-33"/>
    <n v="3"/>
    <m/>
    <m/>
    <m/>
    <s v="FY26に移行終了"/>
    <m/>
  </r>
  <r>
    <s v="FFG"/>
    <x v="0"/>
    <s v="移行"/>
    <m/>
    <x v="35"/>
    <s v="FFGITGC移行人事情報システム移行評価(クラウド基盤)"/>
    <n v="0"/>
    <n v="33"/>
    <n v="33"/>
    <n v="0"/>
    <s v="追加"/>
    <n v="33"/>
    <n v="9"/>
    <m/>
    <m/>
    <m/>
    <s v="2026年8月にクラウド(COMPANY)更改"/>
    <m/>
  </r>
  <r>
    <s v="FFG"/>
    <x v="0"/>
    <s v="移行"/>
    <m/>
    <x v="36"/>
    <s v="FFGITGC移行資金証券(Siatol~NE, FM)移行評価"/>
    <n v="0"/>
    <m/>
    <n v="0"/>
    <n v="26"/>
    <s v="削除"/>
    <n v="-26"/>
    <n v="2"/>
    <m/>
    <m/>
    <m/>
    <s v="FY26に移行終了"/>
    <m/>
  </r>
  <r>
    <s v="FFG"/>
    <x v="0"/>
    <s v="WT"/>
    <m/>
    <x v="37"/>
    <s v="FFGITGCWT資金証券(Siatol~NE, FM)新プロセス評価"/>
    <n v="0"/>
    <m/>
    <n v="0"/>
    <n v="20"/>
    <s v="削除"/>
    <n v="-20"/>
    <n v="2"/>
    <m/>
    <m/>
    <m/>
    <s v="FY26限定トピック"/>
    <m/>
  </r>
  <r>
    <s v="FFG"/>
    <x v="0"/>
    <s v="TOC"/>
    <m/>
    <x v="37"/>
    <s v="FFGITGCTOC資金証券(Siatol~NE, FM)新プロセス評価"/>
    <n v="0"/>
    <m/>
    <n v="0"/>
    <n v="14"/>
    <s v="削除"/>
    <n v="-14"/>
    <n v="2"/>
    <m/>
    <m/>
    <m/>
    <s v="FY26限定トピック"/>
    <m/>
  </r>
  <r>
    <s v="FFG"/>
    <x v="0"/>
    <s v="RF"/>
    <m/>
    <x v="37"/>
    <s v="FFGITGCRF資金証券(Siatol~NE, FM)新プロセス評価"/>
    <n v="0"/>
    <m/>
    <n v="0"/>
    <n v="5"/>
    <s v="削除"/>
    <n v="-5"/>
    <n v="2"/>
    <m/>
    <m/>
    <m/>
    <s v="FY26限定トピック"/>
    <m/>
  </r>
  <r>
    <s v="FFG"/>
    <x v="0"/>
    <s v="WT"/>
    <s v="B9xxx"/>
    <x v="38"/>
    <s v="FFGITGCWT特権ID管理システム(iOperation)"/>
    <n v="17"/>
    <m/>
    <n v="17"/>
    <n v="0"/>
    <s v="追加"/>
    <n v="17"/>
    <n v="9"/>
    <m/>
    <m/>
    <m/>
    <s v="FY27からタスクとして独立"/>
    <m/>
  </r>
  <r>
    <s v="FFG"/>
    <x v="0"/>
    <s v="TOC"/>
    <s v="B9xxx"/>
    <x v="38"/>
    <s v="FFGITGCTOC特権ID管理システム(iOperation)"/>
    <n v="17"/>
    <m/>
    <n v="17"/>
    <n v="0"/>
    <s v="追加"/>
    <n v="17"/>
    <n v="2"/>
    <m/>
    <m/>
    <m/>
    <s v="FY27からタスクとして独立"/>
    <m/>
  </r>
  <r>
    <s v="FFG"/>
    <x v="0"/>
    <s v="RF"/>
    <s v="B9xxx"/>
    <x v="38"/>
    <s v="FFGITGCRF特権ID管理システム(iOperation)"/>
    <n v="5"/>
    <m/>
    <n v="5"/>
    <n v="0"/>
    <s v="追加"/>
    <n v="5"/>
    <n v="4"/>
    <m/>
    <m/>
    <m/>
    <s v="FY27からタスクとして独立"/>
    <m/>
  </r>
  <r>
    <s v="FFG"/>
    <x v="0"/>
    <s v="WT"/>
    <s v="B9xxx"/>
    <x v="39"/>
    <s v="FFGITGCWT特権ID管理システム(AccessCheck)"/>
    <n v="17"/>
    <m/>
    <n v="17"/>
    <n v="0"/>
    <s v="追加"/>
    <n v="17"/>
    <n v="9"/>
    <m/>
    <m/>
    <m/>
    <s v="FY27からタスクとして独立"/>
    <m/>
  </r>
  <r>
    <s v="FFG"/>
    <x v="0"/>
    <s v="TOC"/>
    <s v="B9xxx"/>
    <x v="39"/>
    <s v="FFGITGCTOC特権ID管理システム(AccessCheck)"/>
    <n v="17"/>
    <m/>
    <n v="17"/>
    <n v="0"/>
    <s v="追加"/>
    <n v="17"/>
    <n v="2"/>
    <m/>
    <m/>
    <m/>
    <s v="FY27からタスクとして独立"/>
    <m/>
  </r>
  <r>
    <s v="FFG"/>
    <x v="0"/>
    <s v="RF"/>
    <s v="B9xxx"/>
    <x v="39"/>
    <s v="FFGITGCRF特権ID管理システム(AccessCheck)"/>
    <n v="5"/>
    <m/>
    <n v="5"/>
    <n v="0"/>
    <s v="追加"/>
    <n v="5"/>
    <n v="4"/>
    <m/>
    <m/>
    <m/>
    <s v="FY27からタスクとして独立"/>
    <m/>
  </r>
  <r>
    <s v="FFG"/>
    <x v="0"/>
    <s v="WT"/>
    <s v="B9139"/>
    <x v="40"/>
    <s v="FFGITGCWTデータエントリー"/>
    <n v="7"/>
    <m/>
    <n v="7"/>
    <n v="7"/>
    <s v=""/>
    <s v=""/>
    <n v="10"/>
    <m/>
    <m/>
    <m/>
    <m/>
    <m/>
  </r>
  <r>
    <s v="FFG"/>
    <x v="0"/>
    <s v="WT"/>
    <s v="B9119"/>
    <x v="41"/>
    <s v="FFGITGCWT市場金利情報伝送"/>
    <n v="7"/>
    <m/>
    <n v="7"/>
    <n v="7"/>
    <s v=""/>
    <s v=""/>
    <n v="10"/>
    <m/>
    <m/>
    <m/>
    <m/>
    <m/>
  </r>
  <r>
    <s v="FFG"/>
    <x v="0"/>
    <s v="WT"/>
    <s v="B9229"/>
    <x v="42"/>
    <s v="FFGITGCWT個人IB"/>
    <n v="7"/>
    <m/>
    <n v="7"/>
    <n v="7"/>
    <s v=""/>
    <s v=""/>
    <n v="10"/>
    <m/>
    <m/>
    <m/>
    <m/>
    <m/>
  </r>
  <r>
    <s v="FFG"/>
    <x v="0"/>
    <s v="WT"/>
    <s v="B9239"/>
    <x v="43"/>
    <s v="FFGITGCWT法人IB"/>
    <n v="7"/>
    <m/>
    <n v="7"/>
    <n v="7"/>
    <s v=""/>
    <s v=""/>
    <n v="10"/>
    <m/>
    <m/>
    <m/>
    <m/>
    <m/>
  </r>
  <r>
    <s v="FFG"/>
    <x v="0"/>
    <s v="WT"/>
    <s v="B9249"/>
    <x v="44"/>
    <s v="FFGITGCWTBancMeasure+"/>
    <n v="7"/>
    <m/>
    <n v="7"/>
    <n v="7"/>
    <s v=""/>
    <s v=""/>
    <n v="10"/>
    <m/>
    <m/>
    <m/>
    <m/>
    <m/>
  </r>
  <r>
    <s v="FFG"/>
    <x v="0"/>
    <s v="WT"/>
    <s v="B9219"/>
    <x v="45"/>
    <s v="FFGITGCWT自動仕訳システム"/>
    <n v="7"/>
    <m/>
    <n v="7"/>
    <n v="7"/>
    <s v=""/>
    <s v=""/>
    <n v="10"/>
    <m/>
    <m/>
    <m/>
    <m/>
    <m/>
  </r>
  <r>
    <s v="FFG"/>
    <x v="0"/>
    <s v="WT"/>
    <s v="B9039"/>
    <x v="46"/>
    <s v="FFGITGCWT(FFG)リスク管理高度化"/>
    <n v="7"/>
    <m/>
    <n v="7"/>
    <n v="7"/>
    <s v=""/>
    <s v=""/>
    <n v="10"/>
    <m/>
    <m/>
    <m/>
    <m/>
    <m/>
  </r>
  <r>
    <s v="FFG"/>
    <x v="0"/>
    <s v="315対応"/>
    <s v="B9199"/>
    <x v="47"/>
    <s v="FFGITGC315対応サミット(VISA)"/>
    <n v="3"/>
    <m/>
    <n v="3"/>
    <n v="3"/>
    <s v=""/>
    <s v=""/>
    <n v="10"/>
    <m/>
    <m/>
    <m/>
    <m/>
    <m/>
  </r>
  <r>
    <s v="FFG"/>
    <x v="0"/>
    <s v="315対応"/>
    <s v="B9209"/>
    <x v="48"/>
    <s v="FFGITGC315対応ジニアス(JCB)"/>
    <n v="3"/>
    <m/>
    <n v="3"/>
    <n v="3"/>
    <s v=""/>
    <s v=""/>
    <n v="10"/>
    <m/>
    <m/>
    <m/>
    <m/>
    <m/>
  </r>
  <r>
    <s v="FFG"/>
    <x v="0"/>
    <s v="315対応"/>
    <s v="B9289"/>
    <x v="49"/>
    <s v="FFGITGC315対応Nomura i-Port"/>
    <n v="3"/>
    <m/>
    <n v="3"/>
    <n v="3"/>
    <s v=""/>
    <s v=""/>
    <n v="10"/>
    <m/>
    <m/>
    <m/>
    <m/>
    <m/>
  </r>
  <r>
    <s v="FFG"/>
    <x v="0"/>
    <s v="315対応"/>
    <s v="B9269"/>
    <x v="50"/>
    <s v="FFGITGC315対応BESTWAY"/>
    <n v="3"/>
    <m/>
    <n v="3"/>
    <n v="3"/>
    <s v=""/>
    <s v=""/>
    <n v="10"/>
    <m/>
    <m/>
    <m/>
    <m/>
    <m/>
  </r>
  <r>
    <s v="FFG"/>
    <x v="0"/>
    <s v="315対応"/>
    <m/>
    <x v="51"/>
    <s v="FFGITGC315対応FFGカード関連外部サービス"/>
    <n v="3"/>
    <m/>
    <n v="3"/>
    <n v="3"/>
    <s v=""/>
    <s v=""/>
    <n v="10"/>
    <m/>
    <m/>
    <m/>
    <m/>
    <m/>
  </r>
  <r>
    <s v="FFG"/>
    <x v="1"/>
    <s v="-"/>
    <m/>
    <x v="52"/>
    <s v="FFGITAC-ポジショニング図の作成"/>
    <n v="8"/>
    <m/>
    <n v="8"/>
    <n v="8"/>
    <s v=""/>
    <s v=""/>
    <n v="10"/>
    <m/>
    <m/>
    <m/>
    <m/>
    <m/>
  </r>
  <r>
    <s v="FFG"/>
    <x v="1"/>
    <s v="格付自己"/>
    <m/>
    <x v="53"/>
    <s v="FFGITAC格付自己格付自己査定・貸出金SCOTのDFD作成"/>
    <n v="8"/>
    <m/>
    <n v="8"/>
    <n v="8"/>
    <s v=""/>
    <s v=""/>
    <n v="10"/>
    <m/>
    <m/>
    <m/>
    <m/>
    <m/>
  </r>
  <r>
    <s v="FFG"/>
    <x v="1"/>
    <s v="格付自己"/>
    <m/>
    <x v="54"/>
    <s v="FFGITAC格付自己格付自己査定・貸出金SCOT_データフロー観点のリスク・統制の識別"/>
    <n v="4"/>
    <m/>
    <n v="4"/>
    <n v="4"/>
    <s v=""/>
    <s v=""/>
    <n v="10"/>
    <m/>
    <m/>
    <m/>
    <m/>
    <m/>
  </r>
  <r>
    <s v="FFG"/>
    <x v="1"/>
    <s v="格付自己"/>
    <m/>
    <x v="55"/>
    <s v="FFGITAC格付自己格付自己査定・貸出金SCOT_既存SCOT調書でのリスク・統制識別との比較"/>
    <n v="4"/>
    <m/>
    <n v="4"/>
    <n v="4"/>
    <s v=""/>
    <s v=""/>
    <n v="10"/>
    <m/>
    <m/>
    <m/>
    <m/>
    <m/>
  </r>
  <r>
    <s v="FFG"/>
    <x v="1"/>
    <s v="格付自己"/>
    <m/>
    <x v="56"/>
    <s v="FFGITAC格付自己格付自己査定・貸出金SCOT_プロセス・リスク・統制識別に係るコアナームレピ"/>
    <n v="2"/>
    <m/>
    <n v="2"/>
    <n v="2"/>
    <s v=""/>
    <s v=""/>
    <n v="10"/>
    <m/>
    <m/>
    <m/>
    <m/>
    <m/>
  </r>
  <r>
    <s v="FFG"/>
    <x v="1"/>
    <s v="格付自己"/>
    <m/>
    <x v="57"/>
    <s v="FFGITAC格付自己格付自己査定・貸出金SCOT_WT追加依頼リストの作成"/>
    <n v="2"/>
    <m/>
    <n v="2"/>
    <n v="2"/>
    <s v=""/>
    <s v=""/>
    <n v="10"/>
    <m/>
    <m/>
    <m/>
    <m/>
    <m/>
  </r>
  <r>
    <s v="FFG"/>
    <x v="1"/>
    <s v="格付自己"/>
    <m/>
    <x v="58"/>
    <s v="FFGITAC格付自己格付自己査定・貸出金SCOT_ITAC評価調書(差分版)の作成(BITACso)"/>
    <n v="32"/>
    <m/>
    <n v="32"/>
    <n v="32"/>
    <s v=""/>
    <s v=""/>
    <n v="10"/>
    <m/>
    <m/>
    <m/>
    <m/>
    <m/>
  </r>
  <r>
    <s v="FFG"/>
    <x v="1"/>
    <s v="格付自己"/>
    <m/>
    <x v="59"/>
    <s v="FFGITAC格付自己格付自己査定・貸出金SCOT_調書レビュー"/>
    <n v="4"/>
    <m/>
    <n v="4"/>
    <n v="4"/>
    <s v=""/>
    <s v=""/>
    <n v="10"/>
    <m/>
    <m/>
    <m/>
    <m/>
    <m/>
  </r>
  <r>
    <s v="FFG"/>
    <x v="1"/>
    <s v="金利関連"/>
    <m/>
    <x v="60"/>
    <s v="FFGITAC金利関連為替・金利SCOTのDFD更新"/>
    <n v="8"/>
    <m/>
    <n v="8"/>
    <n v="8"/>
    <s v=""/>
    <s v=""/>
    <n v="10"/>
    <m/>
    <m/>
    <m/>
    <m/>
    <m/>
  </r>
  <r>
    <s v="FFG"/>
    <x v="1"/>
    <s v="-"/>
    <m/>
    <x v="61"/>
    <s v="FFGITAC-既存ITAC_格付自己査定プロセスのITAC評価(BITACs)"/>
    <n v="16"/>
    <m/>
    <n v="16"/>
    <n v="16"/>
    <s v=""/>
    <s v=""/>
    <n v="10"/>
    <m/>
    <m/>
    <m/>
    <m/>
    <m/>
  </r>
  <r>
    <s v="FFG"/>
    <x v="1"/>
    <s v="-"/>
    <m/>
    <x v="62"/>
    <s v="FFGITAC-既存ITAC_調書レビュー"/>
    <n v="4"/>
    <m/>
    <n v="4"/>
    <n v="4"/>
    <s v=""/>
    <s v=""/>
    <n v="10"/>
    <m/>
    <m/>
    <m/>
    <m/>
    <m/>
  </r>
  <r>
    <s v="FFG"/>
    <x v="2"/>
    <s v="-"/>
    <m/>
    <x v="63"/>
    <s v="FFGIPE-IPE評価調書(EYJP265及び別紙)の作成"/>
    <n v="8"/>
    <m/>
    <n v="8"/>
    <n v="8"/>
    <s v=""/>
    <s v=""/>
    <n v="10"/>
    <m/>
    <m/>
    <m/>
    <m/>
    <m/>
  </r>
  <r>
    <s v="FFG"/>
    <x v="2"/>
    <s v="-"/>
    <m/>
    <x v="64"/>
    <s v="FFGIPE-IPE評価調書_調書レビュー"/>
    <n v="4"/>
    <m/>
    <n v="4"/>
    <n v="4"/>
    <s v=""/>
    <s v=""/>
    <n v="10"/>
    <m/>
    <m/>
    <m/>
    <m/>
    <m/>
  </r>
  <r>
    <s v="FFG"/>
    <x v="1"/>
    <s v="貸引EUC"/>
    <m/>
    <x v="65"/>
    <s v="FFGITAC貸引EUC貸引EUC_依頼リストの作成_中間"/>
    <n v="2"/>
    <m/>
    <n v="2"/>
    <n v="2"/>
    <s v=""/>
    <s v=""/>
    <n v="10"/>
    <m/>
    <m/>
    <m/>
    <m/>
    <m/>
  </r>
  <r>
    <s v="FFG"/>
    <x v="1"/>
    <s v="貸引EUC"/>
    <m/>
    <x v="66"/>
    <s v="FFGITAC貸引EUC貸引EUC_検証調書の作成_中間"/>
    <n v="14"/>
    <m/>
    <n v="14"/>
    <n v="14"/>
    <s v=""/>
    <s v=""/>
    <n v="10"/>
    <m/>
    <m/>
    <m/>
    <m/>
    <m/>
  </r>
  <r>
    <s v="FFG"/>
    <x v="1"/>
    <s v="貸引EUC"/>
    <m/>
    <x v="67"/>
    <s v="FFGITAC貸引EUC貸引EUC_依頼リストの作成_期末"/>
    <n v="2"/>
    <m/>
    <n v="2"/>
    <n v="2"/>
    <s v=""/>
    <s v=""/>
    <n v="4"/>
    <m/>
    <m/>
    <m/>
    <m/>
    <m/>
  </r>
  <r>
    <s v="FFG"/>
    <x v="1"/>
    <s v="貸引EUC"/>
    <m/>
    <x v="68"/>
    <s v="FFGITAC貸引EUC貸引EUC_検証調書の作成_期末"/>
    <n v="14"/>
    <m/>
    <n v="14"/>
    <n v="14"/>
    <s v=""/>
    <s v=""/>
    <n v="4"/>
    <m/>
    <m/>
    <m/>
    <m/>
    <m/>
  </r>
  <r>
    <s v="FFG"/>
    <x v="1"/>
    <s v="貸引EUC"/>
    <m/>
    <x v="69"/>
    <s v="FFGITAC貸引EUC貸引EUC_調書レビュー"/>
    <n v="4"/>
    <m/>
    <n v="4"/>
    <n v="4"/>
    <s v=""/>
    <s v=""/>
    <n v="4"/>
    <m/>
    <m/>
    <m/>
    <m/>
    <m/>
  </r>
  <r>
    <s v="FFG"/>
    <x v="1"/>
    <s v="SmartAu"/>
    <m/>
    <x v="70"/>
    <s v="FFGITACSmartAuSmartAudit計画書/結果説明への対応"/>
    <n v="4"/>
    <m/>
    <n v="4"/>
    <n v="4"/>
    <s v=""/>
    <s v=""/>
    <n v="7"/>
    <m/>
    <m/>
    <m/>
    <m/>
    <m/>
  </r>
  <r>
    <s v="FFG"/>
    <x v="1"/>
    <s v="SmartAu"/>
    <m/>
    <x v="71"/>
    <s v="FFGITACSmartAuMNG-Consumer Lending Analyzer対応"/>
    <n v="0"/>
    <m/>
    <n v="0"/>
    <n v="0"/>
    <s v=""/>
    <s v=""/>
    <s v="-"/>
    <m/>
    <m/>
    <m/>
    <m/>
    <m/>
  </r>
  <r>
    <s v="FFG"/>
    <x v="1"/>
    <s v="SmartAu"/>
    <m/>
    <x v="72"/>
    <s v="FFGITACSmartAuBOF:Cash Analyzer対応"/>
    <n v="0"/>
    <m/>
    <n v="0"/>
    <n v="0"/>
    <s v=""/>
    <s v=""/>
    <s v="-"/>
    <m/>
    <m/>
    <m/>
    <m/>
    <m/>
  </r>
  <r>
    <s v="FFG"/>
    <x v="3"/>
    <s v="WT"/>
    <m/>
    <x v="73"/>
    <s v="FFG個別工数WTAWS基盤の調書束ね"/>
    <n v="16"/>
    <m/>
    <n v="16"/>
    <n v="40"/>
    <s v="変更"/>
    <n v="-24"/>
    <n v="9"/>
    <m/>
    <m/>
    <m/>
    <s v="FY27は工数削減のうえ、個別システムの特性見直し"/>
    <m/>
  </r>
  <r>
    <s v="FFG"/>
    <x v="3"/>
    <s v="WT"/>
    <m/>
    <x v="74"/>
    <s v="FFG個別工数WTEYJP265の調書フォーマット変更"/>
    <m/>
    <n v="22"/>
    <n v="22"/>
    <n v="0"/>
    <s v="追加"/>
    <n v="22"/>
    <n v="6"/>
    <m/>
    <m/>
    <m/>
    <s v="FY27のトピック"/>
    <m/>
  </r>
  <r>
    <s v="FFG"/>
    <x v="3"/>
    <s v="その他"/>
    <m/>
    <x v="75"/>
    <s v="FFG個別工数その他勘定系RCM再検討"/>
    <n v="0"/>
    <m/>
    <n v="0"/>
    <n v="0"/>
    <s v=""/>
    <s v=""/>
    <s v="-"/>
    <m/>
    <m/>
    <m/>
    <m/>
    <m/>
  </r>
  <r>
    <s v="FFG"/>
    <x v="3"/>
    <s v="その他"/>
    <m/>
    <x v="76"/>
    <s v="FFG個別工数その他融資支援RCM再検討"/>
    <n v="0"/>
    <m/>
    <n v="0"/>
    <n v="24"/>
    <s v="削除"/>
    <n v="-24"/>
    <s v="-"/>
    <m/>
    <m/>
    <m/>
    <s v="J-SOX実施可能性がなくなったため、削除"/>
    <m/>
  </r>
  <r>
    <s v="FFG"/>
    <x v="3"/>
    <s v="WT"/>
    <s v="B9007"/>
    <x v="77"/>
    <s v="FFG個別工数WTサイバーリスク評価"/>
    <n v="20"/>
    <m/>
    <n v="20"/>
    <n v="52"/>
    <s v="変更"/>
    <n v="-32"/>
    <n v="9"/>
    <m/>
    <m/>
    <m/>
    <s v="工数の適正化"/>
    <m/>
  </r>
  <r>
    <s v="FFG"/>
    <x v="3"/>
    <s v="TOC"/>
    <s v="B9007"/>
    <x v="77"/>
    <s v="FFG個別工数TOCサイバーリスク評価"/>
    <n v="20"/>
    <m/>
    <n v="20"/>
    <n v="52"/>
    <s v="変更"/>
    <n v="-32"/>
    <n v="2"/>
    <m/>
    <m/>
    <m/>
    <s v="工数の適正化"/>
    <m/>
  </r>
  <r>
    <s v="FFG"/>
    <x v="3"/>
    <s v="RF"/>
    <s v="B9007"/>
    <x v="77"/>
    <s v="FFG個別工数RFサイバーリスク評価"/>
    <n v="10"/>
    <m/>
    <n v="10"/>
    <n v="10"/>
    <s v=""/>
    <s v=""/>
    <n v="4"/>
    <m/>
    <m/>
    <m/>
    <m/>
    <m/>
  </r>
  <r>
    <s v="FFG"/>
    <x v="3"/>
    <s v="その他"/>
    <m/>
    <x v="78"/>
    <s v="FFG個別工数その他JSOX改訂対応"/>
    <n v="16"/>
    <m/>
    <n v="16"/>
    <n v="16"/>
    <s v=""/>
    <s v=""/>
    <n v="9"/>
    <m/>
    <m/>
    <m/>
    <m/>
    <m/>
  </r>
  <r>
    <s v="FFG"/>
    <x v="3"/>
    <s v="その他"/>
    <m/>
    <x v="79"/>
    <s v="FFG個別工数その他勉強会"/>
    <n v="24"/>
    <m/>
    <n v="24"/>
    <n v="24"/>
    <s v=""/>
    <s v=""/>
    <n v="6"/>
    <m/>
    <m/>
    <m/>
    <m/>
    <m/>
  </r>
  <r>
    <s v="FFG"/>
    <x v="3"/>
    <s v="WT"/>
    <m/>
    <x v="80"/>
    <s v="FFG個別工数WT評価結果資料作成"/>
    <n v="4"/>
    <m/>
    <n v="4"/>
    <n v="4"/>
    <s v=""/>
    <s v=""/>
    <n v="9"/>
    <m/>
    <m/>
    <m/>
    <m/>
    <m/>
  </r>
  <r>
    <s v="FFG"/>
    <x v="3"/>
    <s v="TOC"/>
    <m/>
    <x v="80"/>
    <s v="FFG個別工数TOC評価結果資料作成"/>
    <n v="4"/>
    <m/>
    <n v="4"/>
    <n v="4"/>
    <s v=""/>
    <s v=""/>
    <n v="2"/>
    <m/>
    <m/>
    <m/>
    <m/>
    <m/>
  </r>
  <r>
    <s v="FFG"/>
    <x v="3"/>
    <s v="WT"/>
    <m/>
    <x v="81"/>
    <s v="FFG個別工数WT依頼リスト確認・依頼フォルダ作成"/>
    <n v="16"/>
    <m/>
    <n v="16"/>
    <n v="16"/>
    <s v=""/>
    <s v=""/>
    <n v="8"/>
    <m/>
    <m/>
    <m/>
    <m/>
    <m/>
  </r>
  <r>
    <s v="FFG"/>
    <x v="3"/>
    <s v="TOC"/>
    <m/>
    <x v="81"/>
    <s v="FFG個別工数TOC依頼リスト確認・依頼フォルダ作成"/>
    <n v="16"/>
    <m/>
    <n v="16"/>
    <n v="16"/>
    <s v=""/>
    <s v=""/>
    <n v="12"/>
    <m/>
    <m/>
    <m/>
    <m/>
    <m/>
  </r>
  <r>
    <s v="FFG"/>
    <x v="3"/>
    <s v="RF"/>
    <m/>
    <x v="81"/>
    <s v="FFG個別工数RF依頼リスト確認・依頼フォルダ作成"/>
    <n v="4"/>
    <m/>
    <n v="4"/>
    <n v="4"/>
    <s v=""/>
    <s v=""/>
    <n v="3"/>
    <m/>
    <m/>
    <m/>
    <m/>
    <m/>
  </r>
  <r>
    <s v="FFG"/>
    <x v="4"/>
    <s v="計画"/>
    <m/>
    <x v="82"/>
    <s v="FFG共通工数計画会社向け計画説明資料"/>
    <n v="24"/>
    <m/>
    <n v="24"/>
    <n v="24"/>
    <s v=""/>
    <s v=""/>
    <n v="6"/>
    <m/>
    <m/>
    <m/>
    <m/>
    <m/>
  </r>
  <r>
    <s v="FFG"/>
    <x v="4"/>
    <s v="計画"/>
    <m/>
    <x v="83"/>
    <s v="FFG共通工数計画コアチーム向け計画説明資料"/>
    <n v="24"/>
    <m/>
    <n v="24"/>
    <n v="24"/>
    <s v=""/>
    <s v=""/>
    <n v="6"/>
    <m/>
    <m/>
    <m/>
    <m/>
    <m/>
  </r>
  <r>
    <s v="FFG"/>
    <x v="4"/>
    <s v="計画"/>
    <m/>
    <x v="84"/>
    <s v="FFG共通工数計画計画EDAP会議資料"/>
    <n v="1"/>
    <m/>
    <n v="1"/>
    <n v="1"/>
    <s v=""/>
    <s v=""/>
    <n v="6"/>
    <m/>
    <m/>
    <m/>
    <m/>
    <m/>
  </r>
  <r>
    <s v="FFG"/>
    <x v="4"/>
    <s v="計画"/>
    <m/>
    <x v="85"/>
    <s v="FFG共通工数計画230GL"/>
    <n v="4"/>
    <m/>
    <n v="4"/>
    <n v="4"/>
    <s v=""/>
    <s v=""/>
    <n v="7"/>
    <m/>
    <m/>
    <m/>
    <m/>
    <m/>
  </r>
  <r>
    <s v="FFG"/>
    <x v="4"/>
    <s v="計画"/>
    <m/>
    <x v="86"/>
    <s v="FFG共通工数計画システム概要ワークシート"/>
    <n v="1"/>
    <m/>
    <n v="1"/>
    <n v="1"/>
    <s v=""/>
    <s v=""/>
    <n v="7"/>
    <m/>
    <m/>
    <m/>
    <m/>
    <m/>
  </r>
  <r>
    <s v="FFG"/>
    <x v="4"/>
    <s v="計画"/>
    <m/>
    <x v="87"/>
    <s v="FFG共通工数計画IT環境ワークシート"/>
    <n v="1"/>
    <m/>
    <n v="1"/>
    <n v="1"/>
    <s v=""/>
    <s v=""/>
    <n v="7"/>
    <m/>
    <m/>
    <m/>
    <m/>
    <m/>
  </r>
  <r>
    <s v="FFG"/>
    <x v="4"/>
    <s v="計画"/>
    <m/>
    <x v="88"/>
    <s v="FFG共通工数計画サイバーセキュリティワークシート"/>
    <n v="4"/>
    <m/>
    <n v="4"/>
    <n v="4"/>
    <s v=""/>
    <s v=""/>
    <n v="7"/>
    <m/>
    <m/>
    <m/>
    <m/>
    <m/>
  </r>
  <r>
    <s v="FFG"/>
    <x v="4"/>
    <s v="計画"/>
    <m/>
    <x v="89"/>
    <s v="FFG共通工数計画231GL"/>
    <n v="4"/>
    <m/>
    <n v="4"/>
    <n v="4"/>
    <s v=""/>
    <s v=""/>
    <n v="8"/>
    <m/>
    <m/>
    <m/>
    <m/>
    <m/>
  </r>
  <r>
    <s v="FFG"/>
    <x v="4"/>
    <s v="計画"/>
    <m/>
    <x v="90"/>
    <s v="FFG共通工数計画Form233"/>
    <n v="4"/>
    <m/>
    <n v="4"/>
    <n v="4"/>
    <s v=""/>
    <s v=""/>
    <n v="8"/>
    <m/>
    <m/>
    <m/>
    <m/>
    <m/>
  </r>
  <r>
    <s v="FFG"/>
    <x v="4"/>
    <s v="計画"/>
    <m/>
    <x v="91"/>
    <s v="FFG共通工数計画234GL"/>
    <n v="1"/>
    <m/>
    <n v="1"/>
    <n v="1"/>
    <s v=""/>
    <s v=""/>
    <n v="8"/>
    <m/>
    <m/>
    <m/>
    <m/>
    <m/>
  </r>
  <r>
    <s v="FFG"/>
    <x v="4"/>
    <s v="計画"/>
    <m/>
    <x v="92"/>
    <s v="FFG共通工数計画Form123"/>
    <n v="4"/>
    <m/>
    <n v="4"/>
    <n v="4"/>
    <s v=""/>
    <s v=""/>
    <n v="9"/>
    <m/>
    <m/>
    <m/>
    <m/>
    <m/>
  </r>
  <r>
    <s v="FFG"/>
    <x v="4"/>
    <s v="計画"/>
    <m/>
    <x v="93"/>
    <s v="FFG共通工数計画クライアント調整"/>
    <n v="1"/>
    <m/>
    <n v="1"/>
    <n v="1"/>
    <s v=""/>
    <s v=""/>
    <n v="7"/>
    <m/>
    <m/>
    <m/>
    <m/>
    <m/>
  </r>
  <r>
    <s v="FFG"/>
    <x v="4"/>
    <s v="計画"/>
    <m/>
    <x v="94"/>
    <s v="FFG共通工数計画社内ミーティング"/>
    <n v="8"/>
    <m/>
    <n v="8"/>
    <n v="8"/>
    <s v=""/>
    <s v=""/>
    <n v="6"/>
    <m/>
    <m/>
    <m/>
    <m/>
    <m/>
  </r>
  <r>
    <s v="FFG"/>
    <x v="4"/>
    <s v="計画"/>
    <m/>
    <x v="95"/>
    <s v="FFG共通工数計画レビュワー工数"/>
    <n v="4"/>
    <m/>
    <n v="4"/>
    <n v="4"/>
    <s v=""/>
    <s v=""/>
    <n v="7"/>
    <m/>
    <m/>
    <m/>
    <m/>
    <m/>
  </r>
  <r>
    <s v="FFG"/>
    <x v="4"/>
    <s v="WT"/>
    <m/>
    <x v="95"/>
    <s v="FFG共通工数WTレビュワー工数"/>
    <n v="32"/>
    <m/>
    <n v="32"/>
    <n v="32"/>
    <s v=""/>
    <s v=""/>
    <n v="9"/>
    <m/>
    <m/>
    <m/>
    <m/>
    <m/>
  </r>
  <r>
    <s v="FFG"/>
    <x v="4"/>
    <s v="WT"/>
    <m/>
    <x v="93"/>
    <s v="FFG共通工数WTクライアント調整"/>
    <n v="2"/>
    <m/>
    <n v="2"/>
    <n v="2"/>
    <s v=""/>
    <s v=""/>
    <n v="8"/>
    <m/>
    <m/>
    <m/>
    <m/>
    <m/>
  </r>
  <r>
    <s v="FFG"/>
    <x v="4"/>
    <s v="中間"/>
    <m/>
    <x v="96"/>
    <s v="FFG共通工数中間中間アーカイブ対応"/>
    <n v="24"/>
    <m/>
    <n v="24"/>
    <n v="24"/>
    <s v=""/>
    <s v=""/>
    <n v="10"/>
    <m/>
    <m/>
    <m/>
    <m/>
    <m/>
  </r>
  <r>
    <s v="FFG"/>
    <x v="4"/>
    <s v="TOC"/>
    <m/>
    <x v="95"/>
    <s v="FFG共通工数TOCレビュワー工数"/>
    <n v="32"/>
    <m/>
    <n v="32"/>
    <n v="32"/>
    <s v=""/>
    <s v=""/>
    <n v="10"/>
    <m/>
    <m/>
    <m/>
    <m/>
    <m/>
  </r>
  <r>
    <s v="FFG"/>
    <x v="4"/>
    <s v="TOC"/>
    <m/>
    <x v="93"/>
    <s v="FFG共通工数TOCクライアント調整"/>
    <n v="2"/>
    <m/>
    <n v="2"/>
    <n v="2"/>
    <s v=""/>
    <s v=""/>
    <n v="10"/>
    <m/>
    <m/>
    <m/>
    <m/>
    <m/>
  </r>
  <r>
    <s v="FFG"/>
    <x v="4"/>
    <s v="RF"/>
    <m/>
    <x v="95"/>
    <s v="FFG共通工数RFレビュワー工数"/>
    <n v="16"/>
    <m/>
    <n v="16"/>
    <n v="16"/>
    <s v=""/>
    <s v=""/>
    <n v="3"/>
    <m/>
    <m/>
    <m/>
    <m/>
    <m/>
  </r>
  <r>
    <s v="FFG"/>
    <x v="4"/>
    <s v="RF"/>
    <m/>
    <x v="93"/>
    <s v="FFG共通工数RFクライアント調整"/>
    <n v="2"/>
    <m/>
    <n v="2"/>
    <n v="2"/>
    <s v=""/>
    <s v=""/>
    <n v="4"/>
    <m/>
    <m/>
    <m/>
    <m/>
    <m/>
  </r>
  <r>
    <s v="FFG"/>
    <x v="4"/>
    <s v="期末"/>
    <m/>
    <x v="97"/>
    <s v="FFG共通工数期末期末EDAP会議資料"/>
    <n v="1"/>
    <m/>
    <n v="1"/>
    <n v="1"/>
    <s v=""/>
    <s v=""/>
    <n v="4"/>
    <m/>
    <m/>
    <m/>
    <m/>
    <m/>
  </r>
  <r>
    <s v="FFG"/>
    <x v="4"/>
    <s v="期末"/>
    <m/>
    <x v="98"/>
    <s v="FFG共通工数期末EYJP330"/>
    <n v="4"/>
    <m/>
    <n v="4"/>
    <n v="4"/>
    <s v=""/>
    <s v=""/>
    <n v="3"/>
    <m/>
    <m/>
    <m/>
    <m/>
    <m/>
  </r>
  <r>
    <s v="FFG"/>
    <x v="4"/>
    <s v="期末"/>
    <m/>
    <x v="99"/>
    <s v="FFG共通工数期末EYJP250"/>
    <n v="4"/>
    <m/>
    <n v="4"/>
    <n v="4"/>
    <s v=""/>
    <s v=""/>
    <n v="3"/>
    <m/>
    <m/>
    <m/>
    <m/>
    <m/>
  </r>
  <r>
    <s v="FFG"/>
    <x v="4"/>
    <s v="期末"/>
    <m/>
    <x v="100"/>
    <s v="FFG共通工数期末IT評価フォーム"/>
    <n v="2"/>
    <m/>
    <n v="2"/>
    <n v="2"/>
    <s v=""/>
    <s v=""/>
    <n v="3"/>
    <m/>
    <m/>
    <m/>
    <m/>
    <m/>
  </r>
  <r>
    <s v="FFG"/>
    <x v="4"/>
    <s v="期末"/>
    <m/>
    <x v="101"/>
    <s v="FFG共通工数期末SOCD"/>
    <n v="1"/>
    <m/>
    <n v="1"/>
    <n v="1"/>
    <s v=""/>
    <s v=""/>
    <n v="10"/>
    <m/>
    <m/>
    <m/>
    <m/>
    <m/>
  </r>
  <r>
    <s v="FFG"/>
    <x v="4"/>
    <s v="期末"/>
    <m/>
    <x v="102"/>
    <s v="FFG共通工数期末期末Canvasクローズ"/>
    <n v="24"/>
    <m/>
    <n v="24"/>
    <n v="24"/>
    <s v=""/>
    <s v=""/>
    <n v="4"/>
    <m/>
    <m/>
    <m/>
    <m/>
    <m/>
  </r>
  <r>
    <s v="FFG"/>
    <x v="4"/>
    <s v="その他"/>
    <m/>
    <x v="103"/>
    <s v="FFG共通工数その他CIOディスカッション（ディスカッション資料・議事録）＊"/>
    <n v="8"/>
    <m/>
    <n v="8"/>
    <n v="8"/>
    <s v=""/>
    <s v=""/>
    <n v="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35A28-BE86-1143-963E-43BB7E13AE89}" name="ピボットテーブル2" cacheId="2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13" firstHeaderRow="1" firstDataRow="1" firstDataCol="1"/>
  <pivotFields count="18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Row" showAll="0">
      <items count="109">
        <item x="7"/>
        <item x="8"/>
        <item x="46"/>
        <item x="85"/>
        <item x="89"/>
        <item x="91"/>
        <item x="73"/>
        <item x="44"/>
        <item x="50"/>
        <item x="72"/>
        <item x="103"/>
        <item x="99"/>
        <item x="74"/>
        <item x="98"/>
        <item x="51"/>
        <item x="26"/>
        <item x="92"/>
        <item x="90"/>
        <item x="23"/>
        <item x="64"/>
        <item x="63"/>
        <item x="87"/>
        <item x="100"/>
        <item x="78"/>
        <item x="13"/>
        <item x="10"/>
        <item x="9"/>
        <item x="71"/>
        <item x="18"/>
        <item x="19"/>
        <item x="17"/>
        <item x="49"/>
        <item x="25"/>
        <item x="24"/>
        <item m="1" x="104"/>
        <item x="15"/>
        <item x="70"/>
        <item x="101"/>
        <item x="93"/>
        <item x="83"/>
        <item x="88"/>
        <item x="77"/>
        <item x="47"/>
        <item x="86"/>
        <item x="48"/>
        <item x="40"/>
        <item x="52"/>
        <item x="95"/>
        <item x="34"/>
        <item x="81"/>
        <item x="60"/>
        <item x="82"/>
        <item x="58"/>
        <item x="57"/>
        <item x="54"/>
        <item x="56"/>
        <item x="55"/>
        <item x="59"/>
        <item x="53"/>
        <item x="0"/>
        <item x="1"/>
        <item x="2"/>
        <item x="75"/>
        <item x="61"/>
        <item x="62"/>
        <item x="102"/>
        <item x="97"/>
        <item x="84"/>
        <item x="42"/>
        <item x="21"/>
        <item x="14"/>
        <item x="33"/>
        <item m="1" x="105"/>
        <item x="41"/>
        <item x="36"/>
        <item x="37"/>
        <item x="16"/>
        <item x="45"/>
        <item x="94"/>
        <item m="1" x="107"/>
        <item x="67"/>
        <item x="65"/>
        <item x="68"/>
        <item x="66"/>
        <item x="69"/>
        <item x="22"/>
        <item x="96"/>
        <item x="20"/>
        <item x="39"/>
        <item x="38"/>
        <item x="80"/>
        <item x="79"/>
        <item x="43"/>
        <item m="1" x="106"/>
        <item x="3"/>
        <item x="4"/>
        <item x="76"/>
        <item x="5"/>
        <item x="6"/>
        <item x="27"/>
        <item x="28"/>
        <item x="29"/>
        <item x="30"/>
        <item x="35"/>
        <item x="31"/>
        <item x="32"/>
        <item x="11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4"/>
  </rowFields>
  <rowItems count="110">
    <i>
      <x/>
    </i>
    <i r="1">
      <x/>
    </i>
    <i r="1">
      <x v="1"/>
    </i>
    <i r="1">
      <x v="2"/>
    </i>
    <i r="1">
      <x v="7"/>
    </i>
    <i r="1">
      <x v="8"/>
    </i>
    <i r="1">
      <x v="14"/>
    </i>
    <i r="1">
      <x v="15"/>
    </i>
    <i r="1">
      <x v="18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42"/>
    </i>
    <i r="1">
      <x v="44"/>
    </i>
    <i r="1">
      <x v="45"/>
    </i>
    <i r="1">
      <x v="48"/>
    </i>
    <i r="1">
      <x v="59"/>
    </i>
    <i r="1">
      <x v="60"/>
    </i>
    <i r="1">
      <x v="61"/>
    </i>
    <i r="1">
      <x v="68"/>
    </i>
    <i r="1">
      <x v="69"/>
    </i>
    <i r="1">
      <x v="70"/>
    </i>
    <i r="1">
      <x v="71"/>
    </i>
    <i r="1">
      <x v="73"/>
    </i>
    <i r="1">
      <x v="74"/>
    </i>
    <i r="1">
      <x v="75"/>
    </i>
    <i r="1">
      <x v="76"/>
    </i>
    <i r="1">
      <x v="77"/>
    </i>
    <i r="1">
      <x v="85"/>
    </i>
    <i r="1">
      <x v="87"/>
    </i>
    <i r="1">
      <x v="88"/>
    </i>
    <i r="1">
      <x v="89"/>
    </i>
    <i r="1">
      <x v="92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>
      <x v="1"/>
    </i>
    <i r="1">
      <x v="9"/>
    </i>
    <i r="1">
      <x v="27"/>
    </i>
    <i r="1">
      <x v="36"/>
    </i>
    <i r="1">
      <x v="46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3"/>
    </i>
    <i r="1">
      <x v="64"/>
    </i>
    <i r="1">
      <x v="80"/>
    </i>
    <i r="1">
      <x v="81"/>
    </i>
    <i r="1">
      <x v="82"/>
    </i>
    <i r="1">
      <x v="83"/>
    </i>
    <i r="1">
      <x v="84"/>
    </i>
    <i>
      <x v="2"/>
    </i>
    <i r="1">
      <x v="19"/>
    </i>
    <i r="1">
      <x v="20"/>
    </i>
    <i>
      <x v="3"/>
    </i>
    <i r="1">
      <x v="6"/>
    </i>
    <i r="1">
      <x v="12"/>
    </i>
    <i r="1">
      <x v="23"/>
    </i>
    <i r="1">
      <x v="41"/>
    </i>
    <i r="1">
      <x v="49"/>
    </i>
    <i r="1">
      <x v="62"/>
    </i>
    <i r="1">
      <x v="90"/>
    </i>
    <i r="1">
      <x v="91"/>
    </i>
    <i r="1">
      <x v="96"/>
    </i>
    <i>
      <x v="4"/>
    </i>
    <i r="1">
      <x v="3"/>
    </i>
    <i r="1">
      <x v="4"/>
    </i>
    <i r="1">
      <x v="5"/>
    </i>
    <i r="1">
      <x v="10"/>
    </i>
    <i r="1">
      <x v="11"/>
    </i>
    <i r="1">
      <x v="13"/>
    </i>
    <i r="1">
      <x v="16"/>
    </i>
    <i r="1">
      <x v="17"/>
    </i>
    <i r="1">
      <x v="21"/>
    </i>
    <i r="1">
      <x v="22"/>
    </i>
    <i r="1">
      <x v="37"/>
    </i>
    <i r="1">
      <x v="38"/>
    </i>
    <i r="1">
      <x v="39"/>
    </i>
    <i r="1">
      <x v="40"/>
    </i>
    <i r="1">
      <x v="43"/>
    </i>
    <i r="1">
      <x v="47"/>
    </i>
    <i r="1">
      <x v="51"/>
    </i>
    <i r="1">
      <x v="65"/>
    </i>
    <i r="1">
      <x v="66"/>
    </i>
    <i r="1">
      <x v="67"/>
    </i>
    <i r="1">
      <x v="78"/>
    </i>
    <i r="1">
      <x v="86"/>
    </i>
    <i t="grand">
      <x/>
    </i>
  </rowItems>
  <colItems count="1">
    <i/>
  </colItems>
  <dataFields count="1">
    <dataField name="合計 / FY27工数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76F8A-8CAC-CE49-87B9-CB59843B033C}" name="T_FY27" displayName="T_FY27" ref="A1:R177" totalsRowShown="0">
  <autoFilter ref="A1:R177" xr:uid="{B4676F8A-8CAC-CE49-87B9-CB59843B033C}"/>
  <tableColumns count="18">
    <tableColumn id="1" xr3:uid="{DDA0EBC7-3A1D-0845-BE48-6BCECAE29854}" name="Eng." dataDxfId="29"/>
    <tableColumn id="2" xr3:uid="{7291BA3F-D765-B34F-B6B3-48BA6DF7790D}" name="大カテゴリ" dataDxfId="28"/>
    <tableColumn id="3" xr3:uid="{F3EE93E8-243F-6345-A7C8-EA297ED8814B}" name="中カテゴリ" dataDxfId="27"/>
    <tableColumn id="18" xr3:uid="{EBAA290A-D494-F541-9FE4-9AAB83E1BA4A}" name="タスクID" dataDxfId="14"/>
    <tableColumn id="4" xr3:uid="{1913E669-A4D3-1748-B23F-CC302B00E06F}" name="タスク名" dataDxfId="26"/>
    <tableColumn id="5" xr3:uid="{D7A997D0-43BD-D140-828E-F372BE3E2C13}" name="(作業用)タスク結合名" dataDxfId="10">
      <calculatedColumnFormula>T_FY27[[#This Row],[Eng.]]&amp;T_FY27[[#This Row],[大カテゴリ]]&amp;T_FY27[[#This Row],[中カテゴリ]]&amp;T_FY27[[#This Row],[タスク名]]</calculatedColumnFormula>
    </tableColumn>
    <tableColumn id="6" xr3:uid="{FAFD4CC3-9AC7-344D-AA6A-F5CF6AD3A4F9}" name="恒久工数" dataDxfId="25"/>
    <tableColumn id="7" xr3:uid="{2FAA4295-7D52-A441-8F3A-00D12C13A4F5}" name="一時工数" dataDxfId="24"/>
    <tableColumn id="8" xr3:uid="{44AAE327-5C82-2945-ADA4-6C052B7CBD7D}" name="FY27工数" dataDxfId="13">
      <calculatedColumnFormula>SUM(T_FY27[[#This Row],[恒久工数]:[一時工数]])</calculatedColumnFormula>
    </tableColumn>
    <tableColumn id="9" xr3:uid="{FC1B5741-5F32-8146-B531-99FA809A9D63}" name="FY26工数" dataDxfId="11">
      <calculatedColumnFormula>_xlfn.XLOOKUP(T_FY27[[#This Row],[(作業用)タスク結合名]],FY26工数!$F:$F,FY26工数!$I:$I,0)</calculatedColumnFormula>
    </tableColumn>
    <tableColumn id="10" xr3:uid="{63A3FF7F-4249-B549-B26C-5236AC0A8D01}" name="増減" dataDxfId="8">
      <calculatedColumnFormula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calculatedColumnFormula>
    </tableColumn>
    <tableColumn id="11" xr3:uid="{0935545E-90EA-6841-9034-7DD3B4F10EC3}" name="工数差分" dataDxfId="9">
      <calculatedColumnFormula>IF(T_FY27[[#This Row],[FY27工数]]=T_FY27[[#This Row],[FY26工数]], "", T_FY27[[#This Row],[FY27工数]]-T_FY27[[#This Row],[FY26工数]])</calculatedColumnFormula>
    </tableColumn>
    <tableColumn id="12" xr3:uid="{99B9D1F8-1C91-8F4D-9775-A57AC0214851}" name="実施月" dataDxfId="23"/>
    <tableColumn id="13" xr3:uid="{609D04BC-59CE-BF48-B92E-D1F043E15C21}" name="担当1"/>
    <tableColumn id="14" xr3:uid="{4213B876-6C8E-2D45-ACFA-97C529082C23}" name="担当2"/>
    <tableColumn id="15" xr3:uid="{FC535BF8-EF25-2941-8455-4BA8C419ACE3}" name="担当3"/>
    <tableColumn id="16" xr3:uid="{E1E455A4-7762-D44E-902F-365FE0A774F8}" name="増減理由"/>
    <tableColumn id="17" xr3:uid="{95AC5B57-43D3-DB40-9ABA-00D32B8FE3D5}" name="見積根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96B870-AEB4-A843-912F-9C09DF7A0CF1}" name="T_FY26" displayName="T_FY26" ref="A1:P153" totalsRowShown="0">
  <autoFilter ref="A1:P153" xr:uid="{7896B870-AEB4-A843-912F-9C09DF7A0CF1}"/>
  <tableColumns count="16">
    <tableColumn id="1" xr3:uid="{06868CC4-84C1-9648-B57A-F2CC9D5E7193}" name="Eng." dataDxfId="22"/>
    <tableColumn id="2" xr3:uid="{D24673EB-6A87-C94F-8F47-37D0A9C9A9CA}" name="大カテゴリ" dataDxfId="21"/>
    <tableColumn id="3" xr3:uid="{1524B047-E742-A44F-A5E5-00C3E183B091}" name="中カテゴリ" dataDxfId="20"/>
    <tableColumn id="17" xr3:uid="{142CB7F3-1E9B-2B4B-80C0-80F678E77E45}" name="タスクID" dataDxfId="12"/>
    <tableColumn id="4" xr3:uid="{DD5C2827-5C72-174F-A813-AD19726302F7}" name="タスク名" dataDxfId="19"/>
    <tableColumn id="5" xr3:uid="{924E50AA-6959-324A-B2F6-8BE2F4DA9C23}" name="(作業用)タスク結合名" dataDxfId="18">
      <calculatedColumnFormula>A2&amp;B2&amp;C2&amp;E2</calculatedColumnFormula>
    </tableColumn>
    <tableColumn id="6" xr3:uid="{21534F12-2A1A-2443-8975-F1EA1120A3F8}" name="恒久工数" dataDxfId="17"/>
    <tableColumn id="7" xr3:uid="{E1E8DE8B-FD4F-4742-B768-9B5659F6FF82}" name="一時工数" dataDxfId="16"/>
    <tableColumn id="8" xr3:uid="{25E44BF6-1529-CC46-A8D5-3DB96E699F15}" name="FY26工数">
      <calculatedColumnFormula>SUM(G2:H2)</calculatedColumnFormula>
    </tableColumn>
    <tableColumn id="9" xr3:uid="{EA0F2BF8-6CA3-FE45-AB97-568932BC3193}" name="FY25工数"/>
    <tableColumn id="10" xr3:uid="{08A9235D-DF57-7D40-9CFE-15E2014170F5}" name="増減"/>
    <tableColumn id="11" xr3:uid="{1128E884-A35F-D345-A257-8794F76CF7BB}" name="実施月" dataDxfId="15"/>
    <tableColumn id="12" xr3:uid="{36962A97-3111-374E-BF2F-2C44571D2E02}" name="担当1"/>
    <tableColumn id="13" xr3:uid="{276B6F27-37C2-D142-AD0F-C58BAA7AB19F}" name="担当2"/>
    <tableColumn id="14" xr3:uid="{EB5E731B-98A5-6748-A34B-8D4B61FAEA22}" name="担当3"/>
    <tableColumn id="15" xr3:uid="{AF34FD68-7B1C-C343-BF70-65775BD3907B}" name="見積根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CCF8-E61B-4B4E-B659-EFF660ED754D}">
  <dimension ref="B1:M48"/>
  <sheetViews>
    <sheetView workbookViewId="0">
      <selection activeCell="E17" sqref="E17"/>
    </sheetView>
  </sheetViews>
  <sheetFormatPr baseColWidth="10" defaultRowHeight="20"/>
  <cols>
    <col min="1" max="1" width="2.5703125" customWidth="1"/>
    <col min="5" max="5" width="33" customWidth="1"/>
    <col min="6" max="6" width="9.85546875" customWidth="1"/>
    <col min="9" max="9" width="8.28515625" customWidth="1"/>
    <col min="10" max="10" width="7.42578125" customWidth="1"/>
    <col min="11" max="11" width="40.85546875" customWidth="1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s="2" t="s">
        <v>125</v>
      </c>
      <c r="J1" s="2" t="s">
        <v>125</v>
      </c>
      <c r="K1" t="s">
        <v>130</v>
      </c>
    </row>
    <row r="2" spans="2:13">
      <c r="B2" s="3" t="str" cm="1">
        <f t="array" ref="B2:L48">_xlfn.HSTACK(_xlfn._xlws.FILTER(FY27工数!A2:E1011, FY27工数!K2:K1011&lt;&gt;""), _xlfn._xlws.FILTER(FY27工数!G2:I1011, FY27工数!K2:K1011&lt;&gt;""), _xlfn._xlws.FILTER(FY27工数!K2:L1011, FY27工数!K2:K1011&lt;&gt;""), _xlfn._xlws.FILTER(FY27工数!Q2:Q1011, FY27工数!K2:K1011&lt;&gt;""))</f>
        <v>FFG</v>
      </c>
      <c r="C2" t="str">
        <v>ITGC</v>
      </c>
      <c r="D2" t="str">
        <v>WT</v>
      </c>
      <c r="E2" t="str">
        <v>B90C1</v>
      </c>
      <c r="F2" t="str">
        <v>MC束ね(不動産・人事・Siatol・国際・収益・財務・時価・固定資産)</v>
      </c>
      <c r="G2">
        <v>18</v>
      </c>
      <c r="H2">
        <v>1</v>
      </c>
      <c r="I2">
        <v>19</v>
      </c>
      <c r="J2" t="str">
        <v>内訳変更</v>
      </c>
      <c r="K2" t="str">
        <v/>
      </c>
      <c r="L2" s="3" t="str">
        <v>人事情報束ね分離</v>
      </c>
      <c r="M2" s="3"/>
    </row>
    <row r="3" spans="2:13">
      <c r="B3" t="str">
        <v>FFG</v>
      </c>
      <c r="C3" t="str">
        <v>ITGC</v>
      </c>
      <c r="D3" t="str">
        <v>TOC</v>
      </c>
      <c r="E3" t="str">
        <v>B90C1</v>
      </c>
      <c r="F3" t="str">
        <v>MC束ね(不動産・人事・Siatol・国際・収益・財務・時価・固定資産)</v>
      </c>
      <c r="G3">
        <v>20</v>
      </c>
      <c r="H3">
        <v>1</v>
      </c>
      <c r="I3">
        <v>21</v>
      </c>
      <c r="J3" t="str">
        <v>内訳変更</v>
      </c>
      <c r="K3" t="str">
        <v/>
      </c>
      <c r="L3" t="str">
        <v>人事情報束ね分離</v>
      </c>
    </row>
    <row r="4" spans="2:13">
      <c r="B4" t="str">
        <v>FFG</v>
      </c>
      <c r="C4" t="str">
        <v>ITGC</v>
      </c>
      <c r="D4" t="str">
        <v>WT</v>
      </c>
      <c r="E4">
        <v>0</v>
      </c>
      <c r="F4" t="str">
        <v>Siatol MC</v>
      </c>
      <c r="G4">
        <v>7</v>
      </c>
      <c r="H4">
        <v>3</v>
      </c>
      <c r="I4">
        <v>10</v>
      </c>
      <c r="J4" t="str">
        <v>追加</v>
      </c>
      <c r="K4">
        <v>10</v>
      </c>
      <c r="L4" t="str">
        <v>FY27 Siatolのクラウド更改</v>
      </c>
    </row>
    <row r="5" spans="2:13">
      <c r="B5" t="str">
        <v>FFG</v>
      </c>
      <c r="C5" t="str">
        <v>ITGC</v>
      </c>
      <c r="D5" t="str">
        <v>WT</v>
      </c>
      <c r="E5">
        <v>0</v>
      </c>
      <c r="F5" t="str">
        <v>Siatol MO</v>
      </c>
      <c r="G5">
        <v>6</v>
      </c>
      <c r="H5">
        <v>2</v>
      </c>
      <c r="I5">
        <v>8</v>
      </c>
      <c r="J5" t="str">
        <v>追加</v>
      </c>
      <c r="K5">
        <v>8</v>
      </c>
      <c r="L5" t="str">
        <v>FY27 Siatolのクラウド更改</v>
      </c>
    </row>
    <row r="6" spans="2:13">
      <c r="B6" t="str">
        <v>FFG</v>
      </c>
      <c r="C6" t="str">
        <v>ITGC</v>
      </c>
      <c r="D6" t="str">
        <v>WT</v>
      </c>
      <c r="E6">
        <v>0</v>
      </c>
      <c r="F6" t="str">
        <v>MA(不動産・人事・Siatol・財務・時価)</v>
      </c>
      <c r="G6">
        <v>18</v>
      </c>
      <c r="H6">
        <v>2</v>
      </c>
      <c r="I6">
        <v>20</v>
      </c>
      <c r="J6" t="str">
        <v>変更</v>
      </c>
      <c r="K6">
        <v>1</v>
      </c>
      <c r="L6" t="str">
        <v>人事情報束ね分離</v>
      </c>
    </row>
    <row r="7" spans="2:13">
      <c r="B7" t="str">
        <v>FFG</v>
      </c>
      <c r="C7" t="str">
        <v>ITGC</v>
      </c>
      <c r="D7" t="str">
        <v>TOC</v>
      </c>
      <c r="E7">
        <v>0</v>
      </c>
      <c r="F7" t="str">
        <v>MA(不動産・人事・Siatol・財務・時価)</v>
      </c>
      <c r="G7">
        <v>20</v>
      </c>
      <c r="H7">
        <v>3</v>
      </c>
      <c r="I7">
        <v>23</v>
      </c>
      <c r="J7" t="str">
        <v>変更</v>
      </c>
      <c r="K7">
        <v>2</v>
      </c>
      <c r="L7" t="str">
        <v>人事情報束ね分離</v>
      </c>
    </row>
    <row r="8" spans="2:13">
      <c r="B8" t="str">
        <v>FFG</v>
      </c>
      <c r="C8" t="str">
        <v>ITGC</v>
      </c>
      <c r="D8" t="str">
        <v>WT</v>
      </c>
      <c r="E8" t="str">
        <v>B90G3, B90G4</v>
      </c>
      <c r="F8" t="str">
        <v>Siatol(MAアプリ、MAインフラ)</v>
      </c>
      <c r="G8">
        <v>10</v>
      </c>
      <c r="H8">
        <v>10</v>
      </c>
      <c r="I8">
        <v>20</v>
      </c>
      <c r="J8" t="str">
        <v>変更</v>
      </c>
      <c r="K8">
        <v>10</v>
      </c>
      <c r="L8" t="str">
        <v>FY27 Siatolのクラウド更改</v>
      </c>
    </row>
    <row r="9" spans="2:13">
      <c r="B9" t="str">
        <v>FFG</v>
      </c>
      <c r="C9" t="str">
        <v>ITGC</v>
      </c>
      <c r="D9" t="str">
        <v>TOC</v>
      </c>
      <c r="E9" t="str">
        <v>B90G3, B90G4</v>
      </c>
      <c r="F9" t="str">
        <v>Siatol(MAアプリ、MAインフラ)</v>
      </c>
      <c r="G9">
        <v>0</v>
      </c>
      <c r="H9">
        <v>0</v>
      </c>
      <c r="I9">
        <v>0</v>
      </c>
      <c r="J9" t="str">
        <v>削除</v>
      </c>
      <c r="K9">
        <v>-11</v>
      </c>
      <c r="L9" t="str">
        <v>FY27 Siatolのクラウド更改</v>
      </c>
    </row>
    <row r="10" spans="2:13">
      <c r="B10" t="str">
        <v>FFG</v>
      </c>
      <c r="C10" t="str">
        <v>ITGC</v>
      </c>
      <c r="D10" t="str">
        <v>RF</v>
      </c>
      <c r="E10" t="str">
        <v>B90G3, B90G4</v>
      </c>
      <c r="F10" t="str">
        <v>Siatol(MAアプリ、MAインフラ)</v>
      </c>
      <c r="G10">
        <v>0</v>
      </c>
      <c r="H10">
        <v>0</v>
      </c>
      <c r="I10">
        <v>0</v>
      </c>
      <c r="J10" t="str">
        <v>削除</v>
      </c>
      <c r="K10">
        <v>-4</v>
      </c>
      <c r="L10" t="str">
        <v>FY27 Siatolのクラウド更改</v>
      </c>
    </row>
    <row r="11" spans="2:13">
      <c r="B11" t="str">
        <v>FFG</v>
      </c>
      <c r="C11" t="str">
        <v>ITGC</v>
      </c>
      <c r="D11" t="str">
        <v>WT</v>
      </c>
      <c r="E11" t="str">
        <v>B90E6</v>
      </c>
      <c r="F11" t="str">
        <v>MO束ね(本部決裁・不動産・人事・時価・固定・FFG勘定奉行)</v>
      </c>
      <c r="G11">
        <v>13</v>
      </c>
      <c r="H11">
        <v>1</v>
      </c>
      <c r="I11">
        <v>14</v>
      </c>
      <c r="J11" t="str">
        <v>変更</v>
      </c>
      <c r="K11">
        <v>1</v>
      </c>
      <c r="L11" t="str">
        <v>人事情報束ね分離</v>
      </c>
    </row>
    <row r="12" spans="2:13">
      <c r="B12" t="str">
        <v>FFG</v>
      </c>
      <c r="C12" t="str">
        <v>ITGC</v>
      </c>
      <c r="D12" t="str">
        <v>TOC</v>
      </c>
      <c r="E12" t="str">
        <v>B90E6</v>
      </c>
      <c r="F12" t="str">
        <v>MO束ね(本部決裁・不動産・人事・時価・固定・FFG勘定奉行)</v>
      </c>
      <c r="G12">
        <v>14</v>
      </c>
      <c r="H12">
        <v>1</v>
      </c>
      <c r="I12">
        <v>15</v>
      </c>
      <c r="J12" t="str">
        <v>変更</v>
      </c>
      <c r="K12">
        <v>1</v>
      </c>
      <c r="L12" t="str">
        <v>人事情報束ね分離</v>
      </c>
    </row>
    <row r="13" spans="2:13">
      <c r="B13" t="str">
        <v>FFG</v>
      </c>
      <c r="C13" t="str">
        <v>ITGC</v>
      </c>
      <c r="D13" t="str">
        <v>WT</v>
      </c>
      <c r="E13" t="str">
        <v>B9181, B9183, B9186</v>
      </c>
      <c r="F13" t="str">
        <v>honorJS</v>
      </c>
      <c r="G13">
        <v>17</v>
      </c>
      <c r="H13">
        <v>0</v>
      </c>
      <c r="I13">
        <v>17</v>
      </c>
      <c r="J13" t="str">
        <v>変更</v>
      </c>
      <c r="K13">
        <v>-17</v>
      </c>
      <c r="L13" t="str">
        <v>FY26のFCB対応終了</v>
      </c>
    </row>
    <row r="14" spans="2:13">
      <c r="B14" t="str">
        <v>FFG</v>
      </c>
      <c r="C14" t="str">
        <v>ITGC</v>
      </c>
      <c r="D14" t="str">
        <v>WT</v>
      </c>
      <c r="E14" t="str">
        <v>B9259</v>
      </c>
      <c r="F14" t="str">
        <v>RPA</v>
      </c>
      <c r="G14">
        <v>17</v>
      </c>
      <c r="H14">
        <v>0</v>
      </c>
      <c r="I14">
        <v>17</v>
      </c>
      <c r="J14" t="str">
        <v>変更</v>
      </c>
      <c r="K14">
        <v>-17</v>
      </c>
      <c r="L14" t="str">
        <v>FY26統制整備完了のため減少</v>
      </c>
    </row>
    <row r="15" spans="2:13">
      <c r="B15" t="str">
        <v>FFG</v>
      </c>
      <c r="C15" t="str">
        <v>ITGC</v>
      </c>
      <c r="D15" t="str">
        <v>TOC</v>
      </c>
      <c r="E15" t="str">
        <v>B9259</v>
      </c>
      <c r="F15" t="str">
        <v>RPA</v>
      </c>
      <c r="G15">
        <v>25.5</v>
      </c>
      <c r="H15">
        <v>0</v>
      </c>
      <c r="I15">
        <v>25.5</v>
      </c>
      <c r="J15" t="str">
        <v>追加</v>
      </c>
      <c r="K15">
        <v>25.5</v>
      </c>
      <c r="L15" t="str">
        <v>FY27TOC新規実施のため追加</v>
      </c>
    </row>
    <row r="16" spans="2:13">
      <c r="B16" t="str">
        <v>FFG</v>
      </c>
      <c r="C16" t="str">
        <v>ITGC</v>
      </c>
      <c r="D16" t="str">
        <v>RF</v>
      </c>
      <c r="E16" t="str">
        <v>B9259</v>
      </c>
      <c r="F16" t="str">
        <v>RPA</v>
      </c>
      <c r="G16">
        <v>7.5</v>
      </c>
      <c r="H16">
        <v>0</v>
      </c>
      <c r="I16">
        <v>7.5</v>
      </c>
      <c r="J16" t="str">
        <v>追加</v>
      </c>
      <c r="K16">
        <v>7.5</v>
      </c>
      <c r="L16" t="str">
        <v>FY27RF新規実施のため追加</v>
      </c>
    </row>
    <row r="17" spans="2:12">
      <c r="B17" t="str">
        <v>FFG</v>
      </c>
      <c r="C17" t="str">
        <v>ITGC</v>
      </c>
      <c r="D17" t="str">
        <v>WT</v>
      </c>
      <c r="E17">
        <v>0</v>
      </c>
      <c r="F17" t="str">
        <v>FFGクラウド(AWS) 束ね</v>
      </c>
      <c r="G17">
        <v>24</v>
      </c>
      <c r="H17">
        <v>0</v>
      </c>
      <c r="I17">
        <v>24</v>
      </c>
      <c r="J17" t="str">
        <v>変更</v>
      </c>
      <c r="K17">
        <v>14</v>
      </c>
      <c r="L17" t="str">
        <v>FY26の想定よりFY27統制数増加のため追加</v>
      </c>
    </row>
    <row r="18" spans="2:12">
      <c r="B18" t="str">
        <v>FFG</v>
      </c>
      <c r="C18" t="str">
        <v>ITGC</v>
      </c>
      <c r="D18" t="str">
        <v>TOC</v>
      </c>
      <c r="E18">
        <v>0</v>
      </c>
      <c r="F18" t="str">
        <v>FFGクラウド(AWS) 束ね</v>
      </c>
      <c r="G18">
        <v>16</v>
      </c>
      <c r="H18">
        <v>0</v>
      </c>
      <c r="I18">
        <v>16</v>
      </c>
      <c r="J18" t="str">
        <v>変更</v>
      </c>
      <c r="K18">
        <v>6</v>
      </c>
      <c r="L18" t="str">
        <v>FY26の想定よりFY27統制数増加のため追加</v>
      </c>
    </row>
    <row r="19" spans="2:12">
      <c r="B19" t="str">
        <v>FFG</v>
      </c>
      <c r="C19" t="str">
        <v>ITGC</v>
      </c>
      <c r="D19" t="str">
        <v>RF</v>
      </c>
      <c r="E19">
        <v>0</v>
      </c>
      <c r="F19" t="str">
        <v>FFGクラウド(AWS) 束ね</v>
      </c>
      <c r="G19">
        <v>16</v>
      </c>
      <c r="H19">
        <v>0</v>
      </c>
      <c r="I19">
        <v>16</v>
      </c>
      <c r="J19" t="str">
        <v>変更</v>
      </c>
      <c r="K19">
        <v>11</v>
      </c>
      <c r="L19" t="str">
        <v>FY26の想定よりFY27統制数増加のため追加</v>
      </c>
    </row>
    <row r="20" spans="2:12">
      <c r="B20" t="str">
        <v>FFG</v>
      </c>
      <c r="C20" t="str">
        <v>ITGC</v>
      </c>
      <c r="D20" t="str">
        <v>WT</v>
      </c>
      <c r="E20">
        <v>0</v>
      </c>
      <c r="F20" t="str">
        <v>(旧) 人事情報システム(MC, MA, MO)</v>
      </c>
      <c r="G20">
        <v>0</v>
      </c>
      <c r="H20">
        <v>32</v>
      </c>
      <c r="I20">
        <v>32</v>
      </c>
      <c r="J20" t="str">
        <v>追加</v>
      </c>
      <c r="K20">
        <v>32</v>
      </c>
      <c r="L20" t="str">
        <v>2026年8月にクラウド(COMPANY)更改</v>
      </c>
    </row>
    <row r="21" spans="2:12">
      <c r="B21" t="str">
        <v>FFG</v>
      </c>
      <c r="C21" t="str">
        <v>ITGC</v>
      </c>
      <c r="D21" t="str">
        <v>WT</v>
      </c>
      <c r="E21">
        <v>0</v>
      </c>
      <c r="F21" t="str">
        <v>(新)人事情報システム(相補的)</v>
      </c>
      <c r="G21">
        <v>9</v>
      </c>
      <c r="H21">
        <v>9</v>
      </c>
      <c r="I21">
        <v>18</v>
      </c>
      <c r="J21" t="str">
        <v>追加</v>
      </c>
      <c r="K21">
        <v>18</v>
      </c>
      <c r="L21" t="str">
        <v>2026年8月にクラウド(COMPANY)更改</v>
      </c>
    </row>
    <row r="22" spans="2:12">
      <c r="B22" t="str">
        <v>FFG</v>
      </c>
      <c r="C22" t="str">
        <v>ITGC</v>
      </c>
      <c r="D22" t="str">
        <v>TOC</v>
      </c>
      <c r="E22">
        <v>0</v>
      </c>
      <c r="F22" t="str">
        <v>(新)人事情報システム(相補的)</v>
      </c>
      <c r="G22">
        <v>9</v>
      </c>
      <c r="H22">
        <v>9</v>
      </c>
      <c r="I22">
        <v>18</v>
      </c>
      <c r="J22" t="str">
        <v>追加</v>
      </c>
      <c r="K22">
        <v>18</v>
      </c>
      <c r="L22" t="str">
        <v>2026年8月にクラウド(COMPANY)更改</v>
      </c>
    </row>
    <row r="23" spans="2:12">
      <c r="B23" t="str">
        <v>FFG</v>
      </c>
      <c r="C23" t="str">
        <v>ITGC</v>
      </c>
      <c r="D23" t="str">
        <v>RF</v>
      </c>
      <c r="E23">
        <v>0</v>
      </c>
      <c r="F23" t="str">
        <v>(新)人事情報システム(相補的)</v>
      </c>
      <c r="G23">
        <v>4</v>
      </c>
      <c r="H23">
        <v>4</v>
      </c>
      <c r="I23">
        <v>8</v>
      </c>
      <c r="J23" t="str">
        <v>追加</v>
      </c>
      <c r="K23">
        <v>8</v>
      </c>
      <c r="L23" t="str">
        <v>2026年8月にクラウド(COMPANY)更改</v>
      </c>
    </row>
    <row r="24" spans="2:12">
      <c r="B24" t="str">
        <v>FFG</v>
      </c>
      <c r="C24" t="str">
        <v>ITGC</v>
      </c>
      <c r="D24" t="str">
        <v>WT</v>
      </c>
      <c r="E24">
        <v>0</v>
      </c>
      <c r="F24" t="str">
        <v>(新)人事情報システム(MA)</v>
      </c>
      <c r="G24">
        <v>9</v>
      </c>
      <c r="H24">
        <v>9</v>
      </c>
      <c r="I24">
        <v>18</v>
      </c>
      <c r="J24" t="str">
        <v>追加</v>
      </c>
      <c r="K24">
        <v>18</v>
      </c>
      <c r="L24" t="str">
        <v>2026年8月にクラウド(COMPANY)更改</v>
      </c>
    </row>
    <row r="25" spans="2:12">
      <c r="B25" t="str">
        <v>FFG</v>
      </c>
      <c r="C25" t="str">
        <v>ITGC</v>
      </c>
      <c r="D25" t="str">
        <v>TOC</v>
      </c>
      <c r="E25">
        <v>0</v>
      </c>
      <c r="F25" t="str">
        <v>(新)人事情報システム(MA)</v>
      </c>
      <c r="G25">
        <v>9</v>
      </c>
      <c r="H25">
        <v>9</v>
      </c>
      <c r="I25">
        <v>18</v>
      </c>
      <c r="J25" t="str">
        <v>追加</v>
      </c>
      <c r="K25">
        <v>18</v>
      </c>
      <c r="L25" t="str">
        <v>2026年8月にクラウド(COMPANY)更改</v>
      </c>
    </row>
    <row r="26" spans="2:12">
      <c r="B26" t="str">
        <v>FFG</v>
      </c>
      <c r="C26" t="str">
        <v>ITGC</v>
      </c>
      <c r="D26" t="str">
        <v>RF</v>
      </c>
      <c r="E26">
        <v>0</v>
      </c>
      <c r="F26" t="str">
        <v>(新)人事情報システム(MA)</v>
      </c>
      <c r="G26">
        <v>4</v>
      </c>
      <c r="H26">
        <v>4</v>
      </c>
      <c r="I26">
        <v>8</v>
      </c>
      <c r="J26" t="str">
        <v>追加</v>
      </c>
      <c r="K26">
        <v>8</v>
      </c>
      <c r="L26" t="str">
        <v>2026年8月にクラウド(COMPANY)更改</v>
      </c>
    </row>
    <row r="27" spans="2:12">
      <c r="B27" t="str">
        <v>FFG</v>
      </c>
      <c r="C27" t="str">
        <v>ITGC</v>
      </c>
      <c r="D27" t="str">
        <v>WT</v>
      </c>
      <c r="E27">
        <v>0</v>
      </c>
      <c r="F27" t="str">
        <v>(新)人事情報システム(SOC)</v>
      </c>
      <c r="G27">
        <v>1</v>
      </c>
      <c r="H27">
        <v>9</v>
      </c>
      <c r="I27">
        <v>10</v>
      </c>
      <c r="J27" t="str">
        <v>追加</v>
      </c>
      <c r="K27">
        <v>10</v>
      </c>
      <c r="L27" t="str">
        <v>2026年8月にクラウド(COMPANY)更改</v>
      </c>
    </row>
    <row r="28" spans="2:12">
      <c r="B28" t="str">
        <v>FFG</v>
      </c>
      <c r="C28" t="str">
        <v>ITGC</v>
      </c>
      <c r="D28" t="str">
        <v>RF</v>
      </c>
      <c r="E28">
        <v>0</v>
      </c>
      <c r="F28" t="str">
        <v>(新)人事情報システム(SOC)</v>
      </c>
      <c r="G28">
        <v>9</v>
      </c>
      <c r="H28">
        <v>2</v>
      </c>
      <c r="I28">
        <v>11</v>
      </c>
      <c r="J28" t="str">
        <v>追加</v>
      </c>
      <c r="K28">
        <v>11</v>
      </c>
      <c r="L28" t="str">
        <v>2026年8月にクラウド(COMPANY)更改</v>
      </c>
    </row>
    <row r="29" spans="2:12">
      <c r="B29" t="str">
        <v>FFG</v>
      </c>
      <c r="C29" t="str">
        <v>ITGC</v>
      </c>
      <c r="D29" t="str">
        <v>移行</v>
      </c>
      <c r="E29">
        <v>0</v>
      </c>
      <c r="F29" t="str">
        <v>勘定系移行評価(基盤)9月</v>
      </c>
      <c r="G29">
        <v>0</v>
      </c>
      <c r="H29">
        <v>33</v>
      </c>
      <c r="I29">
        <v>33</v>
      </c>
      <c r="J29" t="str">
        <v>追加</v>
      </c>
      <c r="K29">
        <v>33</v>
      </c>
      <c r="L29" t="str">
        <v>2026年9月熊本銀行基盤更改</v>
      </c>
    </row>
    <row r="30" spans="2:12">
      <c r="B30" t="str">
        <v>FFG</v>
      </c>
      <c r="C30" t="str">
        <v>ITGC</v>
      </c>
      <c r="D30" t="str">
        <v>移行</v>
      </c>
      <c r="E30">
        <v>0</v>
      </c>
      <c r="F30" t="str">
        <v>勘定系移行評価(基盤)1月</v>
      </c>
      <c r="G30">
        <v>0</v>
      </c>
      <c r="H30">
        <v>19</v>
      </c>
      <c r="I30">
        <v>19</v>
      </c>
      <c r="J30" t="str">
        <v>追加</v>
      </c>
      <c r="K30">
        <v>19</v>
      </c>
      <c r="L30" t="str">
        <v>2027年1月福岡銀行基盤更改</v>
      </c>
    </row>
    <row r="31" spans="2:12">
      <c r="B31" t="str">
        <v>FFG</v>
      </c>
      <c r="C31" t="str">
        <v>ITGC</v>
      </c>
      <c r="D31" t="str">
        <v>移行</v>
      </c>
      <c r="E31">
        <v>0</v>
      </c>
      <c r="F31" t="str">
        <v>国際勘定系移行評価(基盤)</v>
      </c>
      <c r="G31">
        <v>0</v>
      </c>
      <c r="H31">
        <v>0</v>
      </c>
      <c r="I31">
        <v>0</v>
      </c>
      <c r="J31" t="str">
        <v>削除</v>
      </c>
      <c r="K31">
        <v>-33</v>
      </c>
      <c r="L31" t="str">
        <v>FY26に移行終了</v>
      </c>
    </row>
    <row r="32" spans="2:12">
      <c r="B32" t="str">
        <v>FFG</v>
      </c>
      <c r="C32" t="str">
        <v>ITGC</v>
      </c>
      <c r="D32" t="str">
        <v>移行</v>
      </c>
      <c r="E32">
        <v>0</v>
      </c>
      <c r="F32" t="str">
        <v>ローン自動審査移行評価(基盤)</v>
      </c>
      <c r="G32">
        <v>0</v>
      </c>
      <c r="H32">
        <v>0</v>
      </c>
      <c r="I32">
        <v>0</v>
      </c>
      <c r="J32" t="str">
        <v>削除</v>
      </c>
      <c r="K32">
        <v>-33</v>
      </c>
      <c r="L32" t="str">
        <v>FY26に移行終了</v>
      </c>
    </row>
    <row r="33" spans="2:12">
      <c r="B33" t="str">
        <v>FFG</v>
      </c>
      <c r="C33" t="str">
        <v>ITGC</v>
      </c>
      <c r="D33" t="str">
        <v>移行</v>
      </c>
      <c r="E33">
        <v>0</v>
      </c>
      <c r="F33" t="str">
        <v>人事情報システム移行評価(クラウド基盤)</v>
      </c>
      <c r="G33">
        <v>0</v>
      </c>
      <c r="H33">
        <v>33</v>
      </c>
      <c r="I33">
        <v>33</v>
      </c>
      <c r="J33" t="str">
        <v>追加</v>
      </c>
      <c r="K33">
        <v>33</v>
      </c>
      <c r="L33" t="str">
        <v>2026年8月にクラウド(COMPANY)更改</v>
      </c>
    </row>
    <row r="34" spans="2:12">
      <c r="B34" t="str">
        <v>FFG</v>
      </c>
      <c r="C34" t="str">
        <v>ITGC</v>
      </c>
      <c r="D34" t="str">
        <v>移行</v>
      </c>
      <c r="E34">
        <v>0</v>
      </c>
      <c r="F34" t="str">
        <v>資金証券(Siatol~NE, FM)移行評価</v>
      </c>
      <c r="G34">
        <v>0</v>
      </c>
      <c r="H34">
        <v>0</v>
      </c>
      <c r="I34">
        <v>0</v>
      </c>
      <c r="J34" t="str">
        <v>削除</v>
      </c>
      <c r="K34">
        <v>-26</v>
      </c>
      <c r="L34" t="str">
        <v>FY26に移行終了</v>
      </c>
    </row>
    <row r="35" spans="2:12">
      <c r="B35" t="str">
        <v>FFG</v>
      </c>
      <c r="C35" t="str">
        <v>ITGC</v>
      </c>
      <c r="D35" t="str">
        <v>WT</v>
      </c>
      <c r="E35">
        <v>0</v>
      </c>
      <c r="F35" t="str">
        <v>資金証券(Siatol~NE, FM)新プロセス評価</v>
      </c>
      <c r="G35">
        <v>0</v>
      </c>
      <c r="H35">
        <v>0</v>
      </c>
      <c r="I35">
        <v>0</v>
      </c>
      <c r="J35" t="str">
        <v>削除</v>
      </c>
      <c r="K35">
        <v>-20</v>
      </c>
      <c r="L35" t="str">
        <v>FY26限定トピック</v>
      </c>
    </row>
    <row r="36" spans="2:12">
      <c r="B36" t="str">
        <v>FFG</v>
      </c>
      <c r="C36" t="str">
        <v>ITGC</v>
      </c>
      <c r="D36" t="str">
        <v>TOC</v>
      </c>
      <c r="E36">
        <v>0</v>
      </c>
      <c r="F36" t="str">
        <v>資金証券(Siatol~NE, FM)新プロセス評価</v>
      </c>
      <c r="G36">
        <v>0</v>
      </c>
      <c r="H36">
        <v>0</v>
      </c>
      <c r="I36">
        <v>0</v>
      </c>
      <c r="J36" t="str">
        <v>削除</v>
      </c>
      <c r="K36">
        <v>-14</v>
      </c>
      <c r="L36" t="str">
        <v>FY26限定トピック</v>
      </c>
    </row>
    <row r="37" spans="2:12">
      <c r="B37" t="str">
        <v>FFG</v>
      </c>
      <c r="C37" t="str">
        <v>ITGC</v>
      </c>
      <c r="D37" t="str">
        <v>RF</v>
      </c>
      <c r="E37">
        <v>0</v>
      </c>
      <c r="F37" t="str">
        <v>資金証券(Siatol~NE, FM)新プロセス評価</v>
      </c>
      <c r="G37">
        <v>0</v>
      </c>
      <c r="H37">
        <v>0</v>
      </c>
      <c r="I37">
        <v>0</v>
      </c>
      <c r="J37" t="str">
        <v>削除</v>
      </c>
      <c r="K37">
        <v>-5</v>
      </c>
      <c r="L37" t="str">
        <v>FY26限定トピック</v>
      </c>
    </row>
    <row r="38" spans="2:12">
      <c r="B38" t="str">
        <v>FFG</v>
      </c>
      <c r="C38" t="str">
        <v>ITGC</v>
      </c>
      <c r="D38" t="str">
        <v>WT</v>
      </c>
      <c r="E38" t="str">
        <v>B9xxx</v>
      </c>
      <c r="F38" t="str">
        <v>特権ID管理システム(iOperation)</v>
      </c>
      <c r="G38">
        <v>17</v>
      </c>
      <c r="H38">
        <v>0</v>
      </c>
      <c r="I38">
        <v>17</v>
      </c>
      <c r="J38" t="str">
        <v>追加</v>
      </c>
      <c r="K38">
        <v>17</v>
      </c>
      <c r="L38" t="str">
        <v>FY27からタスクとして独立</v>
      </c>
    </row>
    <row r="39" spans="2:12">
      <c r="B39" t="str">
        <v>FFG</v>
      </c>
      <c r="C39" t="str">
        <v>ITGC</v>
      </c>
      <c r="D39" t="str">
        <v>TOC</v>
      </c>
      <c r="E39" t="str">
        <v>B9xxx</v>
      </c>
      <c r="F39" t="str">
        <v>特権ID管理システム(iOperation)</v>
      </c>
      <c r="G39">
        <v>17</v>
      </c>
      <c r="H39">
        <v>0</v>
      </c>
      <c r="I39">
        <v>17</v>
      </c>
      <c r="J39" t="str">
        <v>追加</v>
      </c>
      <c r="K39">
        <v>17</v>
      </c>
      <c r="L39" t="str">
        <v>FY27からタスクとして独立</v>
      </c>
    </row>
    <row r="40" spans="2:12">
      <c r="B40" t="str">
        <v>FFG</v>
      </c>
      <c r="C40" t="str">
        <v>ITGC</v>
      </c>
      <c r="D40" t="str">
        <v>RF</v>
      </c>
      <c r="E40" t="str">
        <v>B9xxx</v>
      </c>
      <c r="F40" t="str">
        <v>特権ID管理システム(iOperation)</v>
      </c>
      <c r="G40">
        <v>5</v>
      </c>
      <c r="H40">
        <v>0</v>
      </c>
      <c r="I40">
        <v>5</v>
      </c>
      <c r="J40" t="str">
        <v>追加</v>
      </c>
      <c r="K40">
        <v>5</v>
      </c>
      <c r="L40" t="str">
        <v>FY27からタスクとして独立</v>
      </c>
    </row>
    <row r="41" spans="2:12">
      <c r="B41" t="str">
        <v>FFG</v>
      </c>
      <c r="C41" t="str">
        <v>ITGC</v>
      </c>
      <c r="D41" t="str">
        <v>WT</v>
      </c>
      <c r="E41" t="str">
        <v>B9xxx</v>
      </c>
      <c r="F41" t="str">
        <v>特権ID管理システム(AccessCheck)</v>
      </c>
      <c r="G41">
        <v>17</v>
      </c>
      <c r="H41">
        <v>0</v>
      </c>
      <c r="I41">
        <v>17</v>
      </c>
      <c r="J41" t="str">
        <v>追加</v>
      </c>
      <c r="K41">
        <v>17</v>
      </c>
      <c r="L41" t="str">
        <v>FY27からタスクとして独立</v>
      </c>
    </row>
    <row r="42" spans="2:12">
      <c r="B42" t="str">
        <v>FFG</v>
      </c>
      <c r="C42" t="str">
        <v>ITGC</v>
      </c>
      <c r="D42" t="str">
        <v>TOC</v>
      </c>
      <c r="E42" t="str">
        <v>B9xxx</v>
      </c>
      <c r="F42" t="str">
        <v>特権ID管理システム(AccessCheck)</v>
      </c>
      <c r="G42">
        <v>17</v>
      </c>
      <c r="H42">
        <v>0</v>
      </c>
      <c r="I42">
        <v>17</v>
      </c>
      <c r="J42" t="str">
        <v>追加</v>
      </c>
      <c r="K42">
        <v>17</v>
      </c>
      <c r="L42" t="str">
        <v>FY27からタスクとして独立</v>
      </c>
    </row>
    <row r="43" spans="2:12">
      <c r="B43" t="str">
        <v>FFG</v>
      </c>
      <c r="C43" t="str">
        <v>ITGC</v>
      </c>
      <c r="D43" t="str">
        <v>RF</v>
      </c>
      <c r="E43" t="str">
        <v>B9xxx</v>
      </c>
      <c r="F43" t="str">
        <v>特権ID管理システム(AccessCheck)</v>
      </c>
      <c r="G43">
        <v>5</v>
      </c>
      <c r="H43">
        <v>0</v>
      </c>
      <c r="I43">
        <v>5</v>
      </c>
      <c r="J43" t="str">
        <v>追加</v>
      </c>
      <c r="K43">
        <v>5</v>
      </c>
      <c r="L43" t="str">
        <v>FY27からタスクとして独立</v>
      </c>
    </row>
    <row r="44" spans="2:12">
      <c r="B44" t="str">
        <v>FFG</v>
      </c>
      <c r="C44" t="str">
        <v>個別工数</v>
      </c>
      <c r="D44" t="str">
        <v>WT</v>
      </c>
      <c r="E44">
        <v>0</v>
      </c>
      <c r="F44" t="str">
        <v>AWS基盤の調書束ね</v>
      </c>
      <c r="G44">
        <v>16</v>
      </c>
      <c r="H44">
        <v>0</v>
      </c>
      <c r="I44">
        <v>16</v>
      </c>
      <c r="J44" t="str">
        <v>変更</v>
      </c>
      <c r="K44">
        <v>-24</v>
      </c>
      <c r="L44" t="str">
        <v>FY27は工数削減のうえ、個別システムの特性見直し</v>
      </c>
    </row>
    <row r="45" spans="2:12">
      <c r="B45" t="str">
        <v>FFG</v>
      </c>
      <c r="C45" t="str">
        <v>個別工数</v>
      </c>
      <c r="D45" t="str">
        <v>WT</v>
      </c>
      <c r="E45">
        <v>0</v>
      </c>
      <c r="F45" t="str">
        <v>EYJP265の調書フォーマット変更</v>
      </c>
      <c r="G45">
        <v>0</v>
      </c>
      <c r="H45">
        <v>22</v>
      </c>
      <c r="I45">
        <v>22</v>
      </c>
      <c r="J45" t="str">
        <v>追加</v>
      </c>
      <c r="K45">
        <v>22</v>
      </c>
      <c r="L45" t="str">
        <v>FY27のトピック</v>
      </c>
    </row>
    <row r="46" spans="2:12">
      <c r="B46" t="str">
        <v>FFG</v>
      </c>
      <c r="C46" t="str">
        <v>個別工数</v>
      </c>
      <c r="D46" t="str">
        <v>その他</v>
      </c>
      <c r="E46">
        <v>0</v>
      </c>
      <c r="F46" t="str">
        <v>融資支援RCM再検討</v>
      </c>
      <c r="G46">
        <v>0</v>
      </c>
      <c r="H46">
        <v>0</v>
      </c>
      <c r="I46">
        <v>0</v>
      </c>
      <c r="J46" t="str">
        <v>削除</v>
      </c>
      <c r="K46">
        <v>-24</v>
      </c>
      <c r="L46" t="str">
        <v>J-SOX実施可能性がなくなったため、削除</v>
      </c>
    </row>
    <row r="47" spans="2:12">
      <c r="B47" t="str">
        <v>FFG</v>
      </c>
      <c r="C47" t="str">
        <v>個別工数</v>
      </c>
      <c r="D47" t="str">
        <v>WT</v>
      </c>
      <c r="E47" t="str">
        <v>B9007</v>
      </c>
      <c r="F47" t="str">
        <v>サイバーリスク評価</v>
      </c>
      <c r="G47">
        <v>20</v>
      </c>
      <c r="H47">
        <v>0</v>
      </c>
      <c r="I47">
        <v>20</v>
      </c>
      <c r="J47" t="str">
        <v>変更</v>
      </c>
      <c r="K47">
        <v>-32</v>
      </c>
      <c r="L47" t="str">
        <v>工数の適正化</v>
      </c>
    </row>
    <row r="48" spans="2:12">
      <c r="B48" t="str">
        <v>FFG</v>
      </c>
      <c r="C48" t="str">
        <v>個別工数</v>
      </c>
      <c r="D48" t="str">
        <v>TOC</v>
      </c>
      <c r="E48" t="str">
        <v>B9007</v>
      </c>
      <c r="F48" t="str">
        <v>サイバーリスク評価</v>
      </c>
      <c r="G48">
        <v>20</v>
      </c>
      <c r="H48">
        <v>0</v>
      </c>
      <c r="I48">
        <v>20</v>
      </c>
      <c r="J48" t="str">
        <v>変更</v>
      </c>
      <c r="K48">
        <v>-32</v>
      </c>
      <c r="L48" t="str">
        <v>工数の適正化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5066-1B73-1E40-AED4-9C93C293FDA6}">
  <dimension ref="A3:B113"/>
  <sheetViews>
    <sheetView topLeftCell="A6" workbookViewId="0"/>
  </sheetViews>
  <sheetFormatPr baseColWidth="10" defaultRowHeight="20"/>
  <cols>
    <col min="1" max="1" width="72.7109375" bestFit="1" customWidth="1"/>
    <col min="2" max="2" width="14.5703125" bestFit="1" customWidth="1"/>
    <col min="3" max="4" width="11.42578125" bestFit="1" customWidth="1"/>
    <col min="5" max="7" width="7" bestFit="1" customWidth="1"/>
    <col min="8" max="8" width="18" bestFit="1" customWidth="1"/>
    <col min="9" max="9" width="14.5703125" bestFit="1" customWidth="1"/>
    <col min="10" max="10" width="10.28515625" bestFit="1" customWidth="1"/>
    <col min="11" max="11" width="21.140625" bestFit="1" customWidth="1"/>
    <col min="12" max="12" width="51" bestFit="1" customWidth="1"/>
    <col min="13" max="13" width="8.85546875" bestFit="1" customWidth="1"/>
    <col min="14" max="14" width="29" bestFit="1" customWidth="1"/>
    <col min="15" max="15" width="8.85546875" bestFit="1" customWidth="1"/>
    <col min="16" max="16" width="25" bestFit="1" customWidth="1"/>
    <col min="17" max="17" width="21.7109375" bestFit="1" customWidth="1"/>
    <col min="18" max="19" width="9.140625" bestFit="1" customWidth="1"/>
    <col min="20" max="20" width="8.28515625" bestFit="1" customWidth="1"/>
    <col min="21" max="21" width="23.42578125" bestFit="1" customWidth="1"/>
    <col min="22" max="22" width="33.42578125" bestFit="1" customWidth="1"/>
    <col min="23" max="23" width="17.42578125" bestFit="1" customWidth="1"/>
    <col min="24" max="24" width="13.7109375" bestFit="1" customWidth="1"/>
    <col min="25" max="25" width="12.7109375" bestFit="1" customWidth="1"/>
    <col min="26" max="26" width="34.42578125" bestFit="1" customWidth="1"/>
    <col min="27" max="27" width="59.140625" bestFit="1" customWidth="1"/>
    <col min="28" max="28" width="37.28515625" bestFit="1" customWidth="1"/>
    <col min="29" max="29" width="34.140625" bestFit="1" customWidth="1"/>
    <col min="30" max="30" width="53.5703125" bestFit="1" customWidth="1"/>
    <col min="31" max="31" width="46" bestFit="1" customWidth="1"/>
    <col min="32" max="32" width="54.28515625" bestFit="1" customWidth="1"/>
    <col min="33" max="33" width="13.5703125" bestFit="1" customWidth="1"/>
    <col min="34" max="34" width="7.28515625" bestFit="1" customWidth="1"/>
    <col min="35" max="35" width="5.140625" bestFit="1" customWidth="1"/>
    <col min="36" max="36" width="19.140625" bestFit="1" customWidth="1"/>
    <col min="37" max="37" width="28.140625" bestFit="1" customWidth="1"/>
    <col min="38" max="38" width="32.140625" bestFit="1" customWidth="1"/>
    <col min="39" max="39" width="6.7109375" bestFit="1" customWidth="1"/>
    <col min="40" max="40" width="15.7109375" bestFit="1" customWidth="1"/>
    <col min="41" max="41" width="25.140625" bestFit="1" customWidth="1"/>
    <col min="42" max="42" width="30.85546875" bestFit="1" customWidth="1"/>
    <col min="43" max="43" width="17.5703125" bestFit="1" customWidth="1"/>
    <col min="44" max="44" width="13.85546875" bestFit="1" customWidth="1"/>
    <col min="45" max="45" width="23.28515625" bestFit="1" customWidth="1"/>
    <col min="46" max="46" width="12.85546875" bestFit="1" customWidth="1"/>
    <col min="47" max="47" width="15.7109375" bestFit="1" customWidth="1"/>
    <col min="48" max="48" width="21.42578125" bestFit="1" customWidth="1"/>
    <col min="49" max="49" width="13.85546875" bestFit="1" customWidth="1"/>
    <col min="50" max="50" width="26.7109375" bestFit="1" customWidth="1"/>
    <col min="51" max="51" width="30.85546875" bestFit="1" customWidth="1"/>
    <col min="52" max="52" width="24.7109375" bestFit="1" customWidth="1"/>
    <col min="53" max="53" width="19.5703125" bestFit="1" customWidth="1"/>
    <col min="54" max="54" width="59.140625" bestFit="1" customWidth="1"/>
    <col min="55" max="55" width="47.28515625" bestFit="1" customWidth="1"/>
    <col min="56" max="56" width="59.42578125" bestFit="1" customWidth="1"/>
    <col min="57" max="57" width="68.85546875" bestFit="1" customWidth="1"/>
    <col min="58" max="58" width="64.42578125" bestFit="1" customWidth="1"/>
    <col min="59" max="59" width="36.85546875" bestFit="1" customWidth="1"/>
    <col min="60" max="60" width="34.140625" bestFit="1" customWidth="1"/>
    <col min="61" max="61" width="6.85546875" bestFit="1" customWidth="1"/>
    <col min="62" max="62" width="31.5703125" bestFit="1" customWidth="1"/>
    <col min="63" max="63" width="27.85546875" bestFit="1" customWidth="1"/>
    <col min="64" max="64" width="16.140625" bestFit="1" customWidth="1"/>
    <col min="65" max="65" width="46.42578125" bestFit="1" customWidth="1"/>
    <col min="66" max="66" width="20.85546875" bestFit="1" customWidth="1"/>
    <col min="67" max="67" width="18.42578125" bestFit="1" customWidth="1"/>
    <col min="68" max="69" width="17" bestFit="1" customWidth="1"/>
    <col min="70" max="70" width="6.85546875" bestFit="1" customWidth="1"/>
    <col min="71" max="72" width="12.5703125" bestFit="1" customWidth="1"/>
    <col min="73" max="73" width="23" bestFit="1" customWidth="1"/>
    <col min="74" max="74" width="38" bestFit="1" customWidth="1"/>
    <col min="75" max="75" width="15.7109375" bestFit="1" customWidth="1"/>
    <col min="76" max="76" width="29.85546875" bestFit="1" customWidth="1"/>
    <col min="77" max="77" width="35.5703125" bestFit="1" customWidth="1"/>
    <col min="78" max="78" width="20.140625" bestFit="1" customWidth="1"/>
    <col min="79" max="80" width="15.7109375" bestFit="1" customWidth="1"/>
    <col min="81" max="81" width="28.5703125" bestFit="1" customWidth="1"/>
    <col min="82" max="83" width="29" bestFit="1" customWidth="1"/>
    <col min="84" max="85" width="27" bestFit="1" customWidth="1"/>
    <col min="86" max="86" width="20.42578125" bestFit="1" customWidth="1"/>
    <col min="87" max="87" width="21.42578125" bestFit="1" customWidth="1"/>
    <col min="88" max="88" width="17.5703125" bestFit="1" customWidth="1"/>
    <col min="89" max="89" width="16.140625" bestFit="1" customWidth="1"/>
    <col min="90" max="90" width="30.7109375" bestFit="1" customWidth="1"/>
    <col min="91" max="91" width="28.140625" bestFit="1" customWidth="1"/>
    <col min="92" max="92" width="15.7109375" bestFit="1" customWidth="1"/>
    <col min="93" max="94" width="6.85546875" bestFit="1" customWidth="1"/>
    <col min="95" max="95" width="30.7109375" bestFit="1" customWidth="1"/>
    <col min="96" max="96" width="8.5703125" bestFit="1" customWidth="1"/>
    <col min="97" max="97" width="16.5703125" bestFit="1" customWidth="1"/>
    <col min="98" max="98" width="18.140625" bestFit="1" customWidth="1"/>
    <col min="99" max="99" width="5.140625" bestFit="1" customWidth="1"/>
  </cols>
  <sheetData>
    <row r="3" spans="1:2">
      <c r="A3" s="4" t="s">
        <v>131</v>
      </c>
      <c r="B3" t="s">
        <v>134</v>
      </c>
    </row>
    <row r="4" spans="1:2">
      <c r="A4" s="5" t="s">
        <v>12</v>
      </c>
      <c r="B4" s="19">
        <v>1244</v>
      </c>
    </row>
    <row r="5" spans="1:2">
      <c r="A5" s="6" t="s">
        <v>21</v>
      </c>
      <c r="B5" s="19">
        <v>16</v>
      </c>
    </row>
    <row r="6" spans="1:2">
      <c r="A6" s="6" t="s">
        <v>22</v>
      </c>
      <c r="B6" s="19">
        <v>17</v>
      </c>
    </row>
    <row r="7" spans="1:2">
      <c r="A7" s="6" t="s">
        <v>51</v>
      </c>
      <c r="B7" s="19">
        <v>7</v>
      </c>
    </row>
    <row r="8" spans="1:2">
      <c r="A8" s="6" t="s">
        <v>49</v>
      </c>
      <c r="B8" s="19">
        <v>7</v>
      </c>
    </row>
    <row r="9" spans="1:2">
      <c r="A9" s="6" t="s">
        <v>56</v>
      </c>
      <c r="B9" s="19">
        <v>3</v>
      </c>
    </row>
    <row r="10" spans="1:2">
      <c r="A10" s="6" t="s">
        <v>57</v>
      </c>
      <c r="B10" s="19">
        <v>3</v>
      </c>
    </row>
    <row r="11" spans="1:2">
      <c r="A11" s="6" t="s">
        <v>37</v>
      </c>
      <c r="B11" s="19">
        <v>56</v>
      </c>
    </row>
    <row r="12" spans="1:2">
      <c r="A12" s="6" t="s">
        <v>132</v>
      </c>
      <c r="B12" s="19">
        <v>39</v>
      </c>
    </row>
    <row r="13" spans="1:2">
      <c r="A13" s="6" t="s">
        <v>25</v>
      </c>
      <c r="B13" s="19">
        <v>50</v>
      </c>
    </row>
    <row r="14" spans="1:2">
      <c r="A14" s="6" t="s">
        <v>24</v>
      </c>
      <c r="B14" s="19">
        <v>47</v>
      </c>
    </row>
    <row r="15" spans="1:2">
      <c r="A15" s="6" t="s">
        <v>23</v>
      </c>
      <c r="B15" s="19">
        <v>46</v>
      </c>
    </row>
    <row r="16" spans="1:2">
      <c r="A16" s="6" t="s">
        <v>30</v>
      </c>
      <c r="B16" s="19">
        <v>25</v>
      </c>
    </row>
    <row r="17" spans="1:2">
      <c r="A17" s="6" t="s">
        <v>31</v>
      </c>
      <c r="B17" s="19">
        <v>25</v>
      </c>
    </row>
    <row r="18" spans="1:2">
      <c r="A18" s="6" t="s">
        <v>29</v>
      </c>
      <c r="B18" s="19">
        <v>35</v>
      </c>
    </row>
    <row r="19" spans="1:2">
      <c r="A19" s="6" t="s">
        <v>55</v>
      </c>
      <c r="B19" s="19">
        <v>3</v>
      </c>
    </row>
    <row r="20" spans="1:2">
      <c r="A20" s="6" t="s">
        <v>36</v>
      </c>
      <c r="B20" s="19">
        <v>25</v>
      </c>
    </row>
    <row r="21" spans="1:2">
      <c r="A21" s="6" t="s">
        <v>35</v>
      </c>
      <c r="B21" s="19">
        <v>50</v>
      </c>
    </row>
    <row r="22" spans="1:2">
      <c r="A22" s="6" t="s">
        <v>27</v>
      </c>
      <c r="B22" s="19">
        <v>20</v>
      </c>
    </row>
    <row r="23" spans="1:2">
      <c r="A23" s="6" t="s">
        <v>53</v>
      </c>
      <c r="B23" s="19">
        <v>3</v>
      </c>
    </row>
    <row r="24" spans="1:2">
      <c r="A24" s="6" t="s">
        <v>54</v>
      </c>
      <c r="B24" s="19">
        <v>3</v>
      </c>
    </row>
    <row r="25" spans="1:2">
      <c r="A25" s="6" t="s">
        <v>45</v>
      </c>
      <c r="B25" s="19">
        <v>7</v>
      </c>
    </row>
    <row r="26" spans="1:2">
      <c r="A26" s="6" t="s">
        <v>40</v>
      </c>
      <c r="B26" s="19">
        <v>0</v>
      </c>
    </row>
    <row r="27" spans="1:2">
      <c r="A27" s="6" t="s">
        <v>14</v>
      </c>
      <c r="B27" s="19">
        <v>97</v>
      </c>
    </row>
    <row r="28" spans="1:2">
      <c r="A28" s="6" t="s">
        <v>17</v>
      </c>
      <c r="B28" s="19">
        <v>26</v>
      </c>
    </row>
    <row r="29" spans="1:2">
      <c r="A29" s="6" t="s">
        <v>18</v>
      </c>
      <c r="B29" s="19">
        <v>26</v>
      </c>
    </row>
    <row r="30" spans="1:2">
      <c r="A30" s="6" t="s">
        <v>47</v>
      </c>
      <c r="B30" s="19">
        <v>7</v>
      </c>
    </row>
    <row r="31" spans="1:2">
      <c r="A31" s="6" t="s">
        <v>33</v>
      </c>
      <c r="B31" s="19">
        <v>19</v>
      </c>
    </row>
    <row r="32" spans="1:2">
      <c r="A32" s="6" t="s">
        <v>26</v>
      </c>
      <c r="B32" s="19">
        <v>18</v>
      </c>
    </row>
    <row r="33" spans="1:2">
      <c r="A33" s="6" t="s">
        <v>39</v>
      </c>
      <c r="B33" s="19">
        <v>0</v>
      </c>
    </row>
    <row r="34" spans="1:2">
      <c r="A34" s="6" t="s">
        <v>46</v>
      </c>
      <c r="B34" s="19">
        <v>7</v>
      </c>
    </row>
    <row r="35" spans="1:2">
      <c r="A35" s="6" t="s">
        <v>41</v>
      </c>
      <c r="B35" s="19">
        <v>0</v>
      </c>
    </row>
    <row r="36" spans="1:2">
      <c r="A36" s="6" t="s">
        <v>42</v>
      </c>
      <c r="B36" s="19">
        <v>0</v>
      </c>
    </row>
    <row r="37" spans="1:2">
      <c r="A37" s="6" t="s">
        <v>28</v>
      </c>
      <c r="B37" s="19">
        <v>16</v>
      </c>
    </row>
    <row r="38" spans="1:2">
      <c r="A38" s="6" t="s">
        <v>50</v>
      </c>
      <c r="B38" s="19">
        <v>7</v>
      </c>
    </row>
    <row r="39" spans="1:2">
      <c r="A39" s="6" t="s">
        <v>34</v>
      </c>
      <c r="B39" s="19">
        <v>12</v>
      </c>
    </row>
    <row r="40" spans="1:2">
      <c r="A40" s="6" t="s">
        <v>32</v>
      </c>
      <c r="B40" s="19">
        <v>25</v>
      </c>
    </row>
    <row r="41" spans="1:2">
      <c r="A41" s="6" t="s">
        <v>44</v>
      </c>
      <c r="B41" s="19">
        <v>39</v>
      </c>
    </row>
    <row r="42" spans="1:2">
      <c r="A42" s="6" t="s">
        <v>43</v>
      </c>
      <c r="B42" s="19">
        <v>39</v>
      </c>
    </row>
    <row r="43" spans="1:2">
      <c r="A43" s="6" t="s">
        <v>48</v>
      </c>
      <c r="B43" s="19">
        <v>7</v>
      </c>
    </row>
    <row r="44" spans="1:2">
      <c r="A44" s="6" t="s">
        <v>19</v>
      </c>
      <c r="B44" s="19">
        <v>84</v>
      </c>
    </row>
    <row r="45" spans="1:2">
      <c r="A45" s="6" t="s">
        <v>20</v>
      </c>
      <c r="B45" s="19">
        <v>19</v>
      </c>
    </row>
    <row r="46" spans="1:2">
      <c r="A46" s="6" t="s">
        <v>222</v>
      </c>
      <c r="B46" s="19">
        <v>39</v>
      </c>
    </row>
    <row r="47" spans="1:2">
      <c r="A47" s="6" t="s">
        <v>223</v>
      </c>
      <c r="B47" s="19">
        <v>26</v>
      </c>
    </row>
    <row r="48" spans="1:2">
      <c r="A48" s="6" t="s">
        <v>224</v>
      </c>
      <c r="B48" s="19">
        <v>32</v>
      </c>
    </row>
    <row r="49" spans="1:2">
      <c r="A49" s="6" t="s">
        <v>225</v>
      </c>
      <c r="B49" s="19">
        <v>44</v>
      </c>
    </row>
    <row r="50" spans="1:2">
      <c r="A50" s="6" t="s">
        <v>226</v>
      </c>
      <c r="B50" s="19">
        <v>44</v>
      </c>
    </row>
    <row r="51" spans="1:2">
      <c r="A51" s="6" t="s">
        <v>227</v>
      </c>
      <c r="B51" s="19">
        <v>21</v>
      </c>
    </row>
    <row r="52" spans="1:2">
      <c r="A52" s="6" t="s">
        <v>228</v>
      </c>
      <c r="B52" s="19">
        <v>33</v>
      </c>
    </row>
    <row r="53" spans="1:2">
      <c r="A53" s="6" t="s">
        <v>229</v>
      </c>
      <c r="B53" s="19">
        <v>33</v>
      </c>
    </row>
    <row r="54" spans="1:2">
      <c r="A54" s="6" t="s">
        <v>230</v>
      </c>
      <c r="B54" s="19">
        <v>19</v>
      </c>
    </row>
    <row r="55" spans="1:2">
      <c r="A55" s="6" t="s">
        <v>218</v>
      </c>
      <c r="B55" s="19">
        <v>10</v>
      </c>
    </row>
    <row r="56" spans="1:2">
      <c r="A56" s="6" t="s">
        <v>231</v>
      </c>
      <c r="B56" s="19">
        <v>8</v>
      </c>
    </row>
    <row r="57" spans="1:2">
      <c r="A57" s="5" t="s">
        <v>58</v>
      </c>
      <c r="B57" s="19">
        <v>132</v>
      </c>
    </row>
    <row r="58" spans="1:2">
      <c r="A58" s="6" t="s">
        <v>85</v>
      </c>
      <c r="B58" s="19">
        <v>0</v>
      </c>
    </row>
    <row r="59" spans="1:2">
      <c r="A59" s="6" t="s">
        <v>84</v>
      </c>
      <c r="B59" s="19">
        <v>0</v>
      </c>
    </row>
    <row r="60" spans="1:2">
      <c r="A60" s="6" t="s">
        <v>83</v>
      </c>
      <c r="B60" s="19">
        <v>4</v>
      </c>
    </row>
    <row r="61" spans="1:2">
      <c r="A61" s="6" t="s">
        <v>60</v>
      </c>
      <c r="B61" s="19">
        <v>8</v>
      </c>
    </row>
    <row r="62" spans="1:2">
      <c r="A62" s="6" t="s">
        <v>70</v>
      </c>
      <c r="B62" s="19">
        <v>8</v>
      </c>
    </row>
    <row r="63" spans="1:2">
      <c r="A63" s="6" t="s">
        <v>67</v>
      </c>
      <c r="B63" s="19">
        <v>32</v>
      </c>
    </row>
    <row r="64" spans="1:2">
      <c r="A64" s="6" t="s">
        <v>66</v>
      </c>
      <c r="B64" s="19">
        <v>2</v>
      </c>
    </row>
    <row r="65" spans="1:2">
      <c r="A65" s="6" t="s">
        <v>63</v>
      </c>
      <c r="B65" s="19">
        <v>4</v>
      </c>
    </row>
    <row r="66" spans="1:2">
      <c r="A66" s="6" t="s">
        <v>65</v>
      </c>
      <c r="B66" s="19">
        <v>2</v>
      </c>
    </row>
    <row r="67" spans="1:2">
      <c r="A67" s="6" t="s">
        <v>64</v>
      </c>
      <c r="B67" s="19">
        <v>4</v>
      </c>
    </row>
    <row r="68" spans="1:2">
      <c r="A68" s="6" t="s">
        <v>68</v>
      </c>
      <c r="B68" s="19">
        <v>4</v>
      </c>
    </row>
    <row r="69" spans="1:2">
      <c r="A69" s="6" t="s">
        <v>62</v>
      </c>
      <c r="B69" s="19">
        <v>8</v>
      </c>
    </row>
    <row r="70" spans="1:2">
      <c r="A70" s="6" t="s">
        <v>71</v>
      </c>
      <c r="B70" s="19">
        <v>16</v>
      </c>
    </row>
    <row r="71" spans="1:2">
      <c r="A71" s="6" t="s">
        <v>72</v>
      </c>
      <c r="B71" s="19">
        <v>4</v>
      </c>
    </row>
    <row r="72" spans="1:2">
      <c r="A72" s="6" t="s">
        <v>79</v>
      </c>
      <c r="B72" s="19">
        <v>2</v>
      </c>
    </row>
    <row r="73" spans="1:2">
      <c r="A73" s="6" t="s">
        <v>77</v>
      </c>
      <c r="B73" s="19">
        <v>2</v>
      </c>
    </row>
    <row r="74" spans="1:2">
      <c r="A74" s="6" t="s">
        <v>80</v>
      </c>
      <c r="B74" s="19">
        <v>14</v>
      </c>
    </row>
    <row r="75" spans="1:2">
      <c r="A75" s="6" t="s">
        <v>78</v>
      </c>
      <c r="B75" s="19">
        <v>14</v>
      </c>
    </row>
    <row r="76" spans="1:2">
      <c r="A76" s="6" t="s">
        <v>81</v>
      </c>
      <c r="B76" s="19">
        <v>4</v>
      </c>
    </row>
    <row r="77" spans="1:2">
      <c r="A77" s="5" t="s">
        <v>73</v>
      </c>
      <c r="B77" s="19">
        <v>12</v>
      </c>
    </row>
    <row r="78" spans="1:2">
      <c r="A78" s="6" t="s">
        <v>75</v>
      </c>
      <c r="B78" s="19">
        <v>4</v>
      </c>
    </row>
    <row r="79" spans="1:2">
      <c r="A79" s="6" t="s">
        <v>74</v>
      </c>
      <c r="B79" s="19">
        <v>8</v>
      </c>
    </row>
    <row r="80" spans="1:2">
      <c r="A80" s="5" t="s">
        <v>86</v>
      </c>
      <c r="B80" s="19">
        <v>172</v>
      </c>
    </row>
    <row r="81" spans="1:2">
      <c r="A81" s="6" t="s">
        <v>87</v>
      </c>
      <c r="B81" s="19">
        <v>16</v>
      </c>
    </row>
    <row r="82" spans="1:2">
      <c r="A82" s="6" t="s">
        <v>88</v>
      </c>
      <c r="B82" s="19">
        <v>22</v>
      </c>
    </row>
    <row r="83" spans="1:2">
      <c r="A83" s="6" t="s">
        <v>93</v>
      </c>
      <c r="B83" s="19">
        <v>16</v>
      </c>
    </row>
    <row r="84" spans="1:2">
      <c r="A84" s="6" t="s">
        <v>92</v>
      </c>
      <c r="B84" s="19">
        <v>50</v>
      </c>
    </row>
    <row r="85" spans="1:2">
      <c r="A85" s="6" t="s">
        <v>96</v>
      </c>
      <c r="B85" s="19">
        <v>36</v>
      </c>
    </row>
    <row r="86" spans="1:2">
      <c r="A86" s="6" t="s">
        <v>90</v>
      </c>
      <c r="B86" s="19">
        <v>0</v>
      </c>
    </row>
    <row r="87" spans="1:2">
      <c r="A87" s="6" t="s">
        <v>95</v>
      </c>
      <c r="B87" s="19">
        <v>8</v>
      </c>
    </row>
    <row r="88" spans="1:2">
      <c r="A88" s="6" t="s">
        <v>94</v>
      </c>
      <c r="B88" s="19">
        <v>24</v>
      </c>
    </row>
    <row r="89" spans="1:2">
      <c r="A89" s="6" t="s">
        <v>91</v>
      </c>
      <c r="B89" s="19">
        <v>0</v>
      </c>
    </row>
    <row r="90" spans="1:2">
      <c r="A90" s="5" t="s">
        <v>97</v>
      </c>
      <c r="B90" s="19">
        <v>239</v>
      </c>
    </row>
    <row r="91" spans="1:2">
      <c r="A91" s="6" t="s">
        <v>102</v>
      </c>
      <c r="B91" s="19">
        <v>4</v>
      </c>
    </row>
    <row r="92" spans="1:2">
      <c r="A92" s="6" t="s">
        <v>106</v>
      </c>
      <c r="B92" s="19">
        <v>4</v>
      </c>
    </row>
    <row r="93" spans="1:2">
      <c r="A93" s="6" t="s">
        <v>108</v>
      </c>
      <c r="B93" s="19">
        <v>1</v>
      </c>
    </row>
    <row r="94" spans="1:2">
      <c r="A94" s="6" t="s">
        <v>122</v>
      </c>
      <c r="B94" s="19">
        <v>8</v>
      </c>
    </row>
    <row r="95" spans="1:2">
      <c r="A95" s="6" t="s">
        <v>118</v>
      </c>
      <c r="B95" s="19">
        <v>4</v>
      </c>
    </row>
    <row r="96" spans="1:2">
      <c r="A96" s="6" t="s">
        <v>117</v>
      </c>
      <c r="B96" s="19">
        <v>4</v>
      </c>
    </row>
    <row r="97" spans="1:2">
      <c r="A97" s="6" t="s">
        <v>109</v>
      </c>
      <c r="B97" s="19">
        <v>4</v>
      </c>
    </row>
    <row r="98" spans="1:2">
      <c r="A98" s="6" t="s">
        <v>107</v>
      </c>
      <c r="B98" s="19">
        <v>4</v>
      </c>
    </row>
    <row r="99" spans="1:2">
      <c r="A99" s="6" t="s">
        <v>104</v>
      </c>
      <c r="B99" s="19">
        <v>1</v>
      </c>
    </row>
    <row r="100" spans="1:2">
      <c r="A100" s="6" t="s">
        <v>119</v>
      </c>
      <c r="B100" s="19">
        <v>2</v>
      </c>
    </row>
    <row r="101" spans="1:2">
      <c r="A101" s="6" t="s">
        <v>120</v>
      </c>
      <c r="B101" s="19">
        <v>1</v>
      </c>
    </row>
    <row r="102" spans="1:2">
      <c r="A102" s="6" t="s">
        <v>110</v>
      </c>
      <c r="B102" s="19">
        <v>7</v>
      </c>
    </row>
    <row r="103" spans="1:2">
      <c r="A103" s="6" t="s">
        <v>100</v>
      </c>
      <c r="B103" s="19">
        <v>24</v>
      </c>
    </row>
    <row r="104" spans="1:2">
      <c r="A104" s="6" t="s">
        <v>105</v>
      </c>
      <c r="B104" s="19">
        <v>4</v>
      </c>
    </row>
    <row r="105" spans="1:2">
      <c r="A105" s="6" t="s">
        <v>103</v>
      </c>
      <c r="B105" s="19">
        <v>1</v>
      </c>
    </row>
    <row r="106" spans="1:2">
      <c r="A106" s="6" t="s">
        <v>112</v>
      </c>
      <c r="B106" s="19">
        <v>84</v>
      </c>
    </row>
    <row r="107" spans="1:2">
      <c r="A107" s="6" t="s">
        <v>99</v>
      </c>
      <c r="B107" s="19">
        <v>24</v>
      </c>
    </row>
    <row r="108" spans="1:2">
      <c r="A108" s="6" t="s">
        <v>121</v>
      </c>
      <c r="B108" s="19">
        <v>24</v>
      </c>
    </row>
    <row r="109" spans="1:2">
      <c r="A109" s="6" t="s">
        <v>116</v>
      </c>
      <c r="B109" s="19">
        <v>1</v>
      </c>
    </row>
    <row r="110" spans="1:2">
      <c r="A110" s="6" t="s">
        <v>101</v>
      </c>
      <c r="B110" s="19">
        <v>1</v>
      </c>
    </row>
    <row r="111" spans="1:2">
      <c r="A111" s="6" t="s">
        <v>111</v>
      </c>
      <c r="B111" s="19">
        <v>8</v>
      </c>
    </row>
    <row r="112" spans="1:2">
      <c r="A112" s="6" t="s">
        <v>114</v>
      </c>
      <c r="B112" s="19">
        <v>24</v>
      </c>
    </row>
    <row r="113" spans="1:2">
      <c r="A113" s="5" t="s">
        <v>133</v>
      </c>
      <c r="B113" s="19">
        <v>1799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64D1-B2A8-D540-B89C-504D6D2B4197}">
  <dimension ref="A1:J28"/>
  <sheetViews>
    <sheetView workbookViewId="0">
      <selection activeCell="C5" sqref="C5"/>
    </sheetView>
  </sheetViews>
  <sheetFormatPr baseColWidth="10" defaultRowHeight="20"/>
  <cols>
    <col min="1" max="1" width="40.5703125" customWidth="1"/>
    <col min="2" max="3" width="8.5703125" bestFit="1" customWidth="1"/>
    <col min="4" max="4" width="7.42578125" customWidth="1"/>
    <col min="5" max="6" width="8.5703125" style="2" bestFit="1" customWidth="1"/>
    <col min="7" max="7" width="7.5703125" customWidth="1"/>
    <col min="8" max="8" width="16.5703125" customWidth="1"/>
    <col min="9" max="9" width="8.28515625" style="2" customWidth="1"/>
    <col min="10" max="10" width="75.5703125" customWidth="1"/>
  </cols>
  <sheetData>
    <row r="1" spans="1:10">
      <c r="B1" s="21" t="s">
        <v>199</v>
      </c>
      <c r="C1" s="22"/>
      <c r="D1" s="23"/>
      <c r="E1" s="24" t="s">
        <v>200</v>
      </c>
      <c r="F1" s="25"/>
      <c r="G1" s="26"/>
    </row>
    <row r="2" spans="1:10">
      <c r="A2" s="14" t="s">
        <v>3</v>
      </c>
      <c r="B2" s="14" t="s">
        <v>4</v>
      </c>
      <c r="C2" s="14" t="s">
        <v>5</v>
      </c>
      <c r="D2" s="14" t="s">
        <v>202</v>
      </c>
      <c r="E2" s="14" t="s">
        <v>4</v>
      </c>
      <c r="F2" s="14" t="s">
        <v>5</v>
      </c>
      <c r="G2" s="15" t="s">
        <v>201</v>
      </c>
      <c r="H2" s="14" t="s">
        <v>198</v>
      </c>
      <c r="I2" s="15" t="s">
        <v>175</v>
      </c>
      <c r="J2" s="14" t="s">
        <v>128</v>
      </c>
    </row>
    <row r="3" spans="1:10">
      <c r="A3" t="str" cm="1">
        <f t="array" ref="A3:J28">_xlfn.LET(
  _xlpm.集計表, _xlfn.HSTACK(
    _xlfn.GROUPBY(_xlfn.HSTACK(T_FY27[タスクID], T_FY27[タスク名]), _xlfn.HSTACK(T_FY27[恒久工数], T_FY27[一時工数], T_FY27[FY27工数], T_FY27[工数差分]), _xleta.SUM, 0, 0),
    _xlfn.CHOOSECOLS(_xlfn.GROUPBY(_xlfn.HSTACK(T_FY27[タスクID], T_FY27[タスク名]), _xlfn.HSTACK(T_FY27[増減], T_FY27[増減理由]), _xleta.ARRAYTOTEXT, 0, 0), 3, 4)
  ),
  _xlpm.絞り込み, _xlfn._xlws.FILTER(_xlpm.集計表, (INDEX(_xlpm.集計表,,6)&lt;&gt;0) + ISNUMBER(SEARCH("内訳変更", INDEX(_xlpm.集計表,,7)))),
  _xlpm.タスク名リスト, INDEX(_xlpm.絞り込み,,2),
  _xlpm.FY26恒久, SUMIFS(T_FY26[恒久工数], T_FY26[タスク名], _xlpm.タスク名リスト),
  _xlpm.FY26一時, SUMIFS(T_FY26[一時工数], T_FY26[タスク名], _xlpm.タスク名リスト),
  _xlpm.FY26工数, SUMIFS(T_FY26[FY26工数], T_FY26[タスク名], _xlpm.タスク名リスト),
  _xlpm.結果表, _xlfn.HSTACK(_xlpm.絞り込み, _xlpm.FY26恒久, _xlpm.FY26一時, _xlpm.FY26工数),
  _xlfn.CHOOSECOLS(_xlpm.結果表, 2, 3, 4, 5, 9, 10, 11, 7, 6, 8)
)</f>
        <v>サイバーリスク評価</v>
      </c>
      <c r="B3">
        <v>50</v>
      </c>
      <c r="C3">
        <v>0</v>
      </c>
      <c r="D3" s="7">
        <v>50</v>
      </c>
      <c r="E3" s="2">
        <v>114</v>
      </c>
      <c r="F3" s="2">
        <v>0</v>
      </c>
      <c r="G3">
        <v>114</v>
      </c>
      <c r="H3" t="str">
        <v xml:space="preserve">変更, 変更, </v>
      </c>
      <c r="I3" s="2">
        <v>-64</v>
      </c>
      <c r="J3" t="str">
        <v xml:space="preserve">工数の適正化, 工数の適正化, </v>
      </c>
    </row>
    <row r="4" spans="1:10">
      <c r="A4" t="str">
        <v>MC束ね(不動産・人事・Siatol・国際・収益・財務・時価・固定資産)</v>
      </c>
      <c r="B4">
        <v>45</v>
      </c>
      <c r="C4">
        <v>2</v>
      </c>
      <c r="D4" s="7">
        <v>47</v>
      </c>
      <c r="E4" s="2">
        <v>47</v>
      </c>
      <c r="F4" s="2">
        <v>0</v>
      </c>
      <c r="G4">
        <v>47</v>
      </c>
      <c r="H4" t="str">
        <v xml:space="preserve">内訳変更, 内訳変更, </v>
      </c>
      <c r="I4" s="2">
        <v>0</v>
      </c>
      <c r="J4" t="str">
        <v xml:space="preserve">人事情報束ね分離, 人事情報束ね分離, </v>
      </c>
    </row>
    <row r="5" spans="1:10">
      <c r="A5" t="str">
        <v>MO束ね(本部決裁・不動産・人事・時価・固定・FFG勘定奉行)</v>
      </c>
      <c r="B5">
        <v>33</v>
      </c>
      <c r="C5">
        <v>2</v>
      </c>
      <c r="D5" s="7">
        <v>35</v>
      </c>
      <c r="E5" s="2">
        <v>33</v>
      </c>
      <c r="F5" s="2">
        <v>0</v>
      </c>
      <c r="G5">
        <v>33</v>
      </c>
      <c r="H5" t="str">
        <v xml:space="preserve">変更, 変更, </v>
      </c>
      <c r="I5" s="2">
        <v>2</v>
      </c>
      <c r="J5" t="str">
        <v>人事情報束ね分離, 人事情報束ね分離, 人事情報束ね分離</v>
      </c>
    </row>
    <row r="6" spans="1:10">
      <c r="A6" t="str">
        <v>Siatol(MAアプリ、MAインフラ)</v>
      </c>
      <c r="B6">
        <v>10</v>
      </c>
      <c r="C6">
        <v>10</v>
      </c>
      <c r="D6" s="7">
        <v>20</v>
      </c>
      <c r="E6" s="2">
        <v>25</v>
      </c>
      <c r="F6" s="2">
        <v>0</v>
      </c>
      <c r="G6">
        <v>25</v>
      </c>
      <c r="H6" t="str">
        <v>変更, 削除, 削除</v>
      </c>
      <c r="I6" s="2">
        <v>-5</v>
      </c>
      <c r="J6" t="str">
        <v>FY27 Siatolのクラウド更改, FY27 Siatolのクラウド更改, FY27 Siatolのクラウド更改</v>
      </c>
    </row>
    <row r="7" spans="1:10">
      <c r="A7" t="str">
        <v>honorJS</v>
      </c>
      <c r="B7">
        <v>39</v>
      </c>
      <c r="C7">
        <v>0</v>
      </c>
      <c r="D7" s="7">
        <v>39</v>
      </c>
      <c r="E7" s="2">
        <v>56</v>
      </c>
      <c r="F7" s="2">
        <v>0</v>
      </c>
      <c r="G7">
        <v>56</v>
      </c>
      <c r="H7" t="str">
        <v xml:space="preserve">変更, , </v>
      </c>
      <c r="I7" s="2">
        <v>-17</v>
      </c>
      <c r="J7" t="str">
        <v xml:space="preserve">FY26のFCB対応終了, , </v>
      </c>
    </row>
    <row r="8" spans="1:10">
      <c r="A8" t="str">
        <v>RPA</v>
      </c>
      <c r="B8">
        <v>50</v>
      </c>
      <c r="C8">
        <v>0</v>
      </c>
      <c r="D8" s="7">
        <v>50</v>
      </c>
      <c r="E8" s="2">
        <v>34</v>
      </c>
      <c r="F8" s="2">
        <v>0</v>
      </c>
      <c r="G8">
        <v>34</v>
      </c>
      <c r="H8" t="str">
        <v>変更, 追加, 追加</v>
      </c>
      <c r="I8" s="2">
        <v>16</v>
      </c>
      <c r="J8" t="str">
        <v>FY26統制整備完了のため減少, FY27TOC新規実施のため追加, FY27RF新規実施のため追加</v>
      </c>
    </row>
    <row r="9" spans="1:10">
      <c r="A9" t="str">
        <v>特権ID管理システム(AccessCheck)</v>
      </c>
      <c r="B9">
        <v>39</v>
      </c>
      <c r="C9">
        <v>0</v>
      </c>
      <c r="D9" s="7">
        <v>39</v>
      </c>
      <c r="E9" s="2">
        <v>0</v>
      </c>
      <c r="F9" s="2">
        <v>0</v>
      </c>
      <c r="G9">
        <v>0</v>
      </c>
      <c r="H9" t="str">
        <v>追加, 追加, 追加</v>
      </c>
      <c r="I9" s="2">
        <v>39</v>
      </c>
      <c r="J9" t="str">
        <v>FY27からタスクとして独立, FY27からタスクとして独立, FY27からタスクとして独立</v>
      </c>
    </row>
    <row r="10" spans="1:10">
      <c r="A10" t="str">
        <v>特権ID管理システム(iOperation)</v>
      </c>
      <c r="B10">
        <v>39</v>
      </c>
      <c r="C10">
        <v>0</v>
      </c>
      <c r="D10" s="7">
        <v>39</v>
      </c>
      <c r="E10" s="2">
        <v>0</v>
      </c>
      <c r="F10" s="2">
        <v>0</v>
      </c>
      <c r="G10">
        <v>0</v>
      </c>
      <c r="H10" t="str">
        <v>追加, 追加, 追加</v>
      </c>
      <c r="I10" s="2">
        <v>39</v>
      </c>
      <c r="J10" t="str">
        <v>FY27からタスクとして独立, FY27からタスクとして独立, FY27からタスクとして独立</v>
      </c>
    </row>
    <row r="11" spans="1:10">
      <c r="A11" t="str">
        <v>(旧) 人事情報システム(MC, MA, MO)</v>
      </c>
      <c r="B11">
        <v>0</v>
      </c>
      <c r="C11">
        <v>32</v>
      </c>
      <c r="D11" s="7">
        <v>32</v>
      </c>
      <c r="E11" s="2">
        <v>0</v>
      </c>
      <c r="F11" s="2">
        <v>0</v>
      </c>
      <c r="G11">
        <v>0</v>
      </c>
      <c r="H11" t="str">
        <v>追加</v>
      </c>
      <c r="I11" s="2">
        <v>32</v>
      </c>
      <c r="J11" t="str">
        <v>2026年8月にクラウド(COMPANY)更改</v>
      </c>
    </row>
    <row r="12" spans="1:10">
      <c r="A12" t="str">
        <v>(新)人事情報システム(MA)</v>
      </c>
      <c r="B12">
        <v>22</v>
      </c>
      <c r="C12">
        <v>22</v>
      </c>
      <c r="D12" s="7">
        <v>44</v>
      </c>
      <c r="E12" s="2">
        <v>0</v>
      </c>
      <c r="F12" s="2">
        <v>0</v>
      </c>
      <c r="G12">
        <v>0</v>
      </c>
      <c r="H12" t="str">
        <v>追加, 追加, 追加</v>
      </c>
      <c r="I12" s="2">
        <v>44</v>
      </c>
      <c r="J12" t="str">
        <v>2026年8月にクラウド(COMPANY)更改, 2026年8月にクラウド(COMPANY)更改, 2026年8月にクラウド(COMPANY)更改</v>
      </c>
    </row>
    <row r="13" spans="1:10">
      <c r="A13" t="str">
        <v>(新)人事情報システム(SOC)</v>
      </c>
      <c r="B13">
        <v>10</v>
      </c>
      <c r="C13">
        <v>11</v>
      </c>
      <c r="D13" s="7">
        <v>21</v>
      </c>
      <c r="E13" s="2">
        <v>0</v>
      </c>
      <c r="F13" s="2">
        <v>0</v>
      </c>
      <c r="G13">
        <v>0</v>
      </c>
      <c r="H13" t="str">
        <v>追加, 追加</v>
      </c>
      <c r="I13" s="2">
        <v>21</v>
      </c>
      <c r="J13" t="str">
        <v>2026年8月にクラウド(COMPANY)更改, 2026年8月にクラウド(COMPANY)更改</v>
      </c>
    </row>
    <row r="14" spans="1:10">
      <c r="A14" t="str">
        <v>(新)人事情報システム(相補的)</v>
      </c>
      <c r="B14">
        <v>22</v>
      </c>
      <c r="C14">
        <v>22</v>
      </c>
      <c r="D14" s="7">
        <v>44</v>
      </c>
      <c r="E14" s="2">
        <v>0</v>
      </c>
      <c r="F14" s="2">
        <v>0</v>
      </c>
      <c r="G14">
        <v>0</v>
      </c>
      <c r="H14" t="str">
        <v>追加, 追加, 追加</v>
      </c>
      <c r="I14" s="2">
        <v>44</v>
      </c>
      <c r="J14" t="str">
        <v>2026年8月にクラウド(COMPANY)更改, 2026年8月にクラウド(COMPANY)更改, 2026年8月にクラウド(COMPANY)更改</v>
      </c>
    </row>
    <row r="15" spans="1:10">
      <c r="A15" t="str">
        <v>AWS基盤の調書束ね</v>
      </c>
      <c r="B15">
        <v>16</v>
      </c>
      <c r="C15">
        <v>0</v>
      </c>
      <c r="D15" s="7">
        <v>16</v>
      </c>
      <c r="E15" s="2">
        <v>40</v>
      </c>
      <c r="F15" s="2">
        <v>0</v>
      </c>
      <c r="G15">
        <v>40</v>
      </c>
      <c r="H15" t="str">
        <v>変更</v>
      </c>
      <c r="I15" s="2">
        <v>-24</v>
      </c>
      <c r="J15" t="str">
        <v>FY27は工数削減のうえ、個別システムの特性見直し</v>
      </c>
    </row>
    <row r="16" spans="1:10">
      <c r="A16" t="str">
        <v>EYJP265の調書フォーマット変更</v>
      </c>
      <c r="B16">
        <v>0</v>
      </c>
      <c r="C16">
        <v>22</v>
      </c>
      <c r="D16" s="7">
        <v>22</v>
      </c>
      <c r="E16" s="2">
        <v>0</v>
      </c>
      <c r="F16" s="2">
        <v>0</v>
      </c>
      <c r="G16">
        <v>0</v>
      </c>
      <c r="H16" t="str">
        <v>追加</v>
      </c>
      <c r="I16" s="2">
        <v>22</v>
      </c>
      <c r="J16" t="str">
        <v>FY27のトピック</v>
      </c>
    </row>
    <row r="17" spans="1:10">
      <c r="A17" t="str">
        <v>FFGクラウド(AWS) 束ね</v>
      </c>
      <c r="B17">
        <v>56</v>
      </c>
      <c r="C17">
        <v>0</v>
      </c>
      <c r="D17" s="7">
        <v>56</v>
      </c>
      <c r="E17" s="2">
        <v>25</v>
      </c>
      <c r="F17" s="2">
        <v>0</v>
      </c>
      <c r="G17">
        <v>25</v>
      </c>
      <c r="H17" t="str">
        <v>変更, 変更, 変更</v>
      </c>
      <c r="I17" s="2">
        <v>31</v>
      </c>
      <c r="J17" t="str">
        <v>FY26の想定よりFY27統制数増加のため追加, FY26の想定よりFY27統制数増加のため追加, FY26の想定よりFY27統制数増加のため追加</v>
      </c>
    </row>
    <row r="18" spans="1:10">
      <c r="A18" t="str">
        <v>MA(不動産・人事・Siatol・財務・時価)</v>
      </c>
      <c r="B18">
        <v>45</v>
      </c>
      <c r="C18">
        <v>5</v>
      </c>
      <c r="D18" s="7">
        <v>50</v>
      </c>
      <c r="E18" s="2">
        <v>47</v>
      </c>
      <c r="F18" s="2">
        <v>0</v>
      </c>
      <c r="G18">
        <v>47</v>
      </c>
      <c r="H18" t="str">
        <v xml:space="preserve">変更, 変更, </v>
      </c>
      <c r="I18" s="2">
        <v>3</v>
      </c>
      <c r="J18" t="str">
        <v xml:space="preserve">人事情報束ね分離, 人事情報束ね分離, </v>
      </c>
    </row>
    <row r="19" spans="1:10">
      <c r="A19" t="str">
        <v>Siatol MC</v>
      </c>
      <c r="B19">
        <v>7</v>
      </c>
      <c r="C19">
        <v>3</v>
      </c>
      <c r="D19">
        <v>10</v>
      </c>
      <c r="E19" s="2">
        <v>0</v>
      </c>
      <c r="F19" s="2">
        <v>0</v>
      </c>
      <c r="G19">
        <v>0</v>
      </c>
      <c r="H19" t="str">
        <v>追加</v>
      </c>
      <c r="I19" s="2">
        <v>10</v>
      </c>
      <c r="J19" t="str">
        <v>FY27 Siatolのクラウド更改</v>
      </c>
    </row>
    <row r="20" spans="1:10">
      <c r="A20" t="str">
        <v>Siatol MO</v>
      </c>
      <c r="B20">
        <v>6</v>
      </c>
      <c r="C20">
        <v>2</v>
      </c>
      <c r="D20">
        <v>8</v>
      </c>
      <c r="E20" s="2">
        <v>0</v>
      </c>
      <c r="F20" s="2">
        <v>0</v>
      </c>
      <c r="G20">
        <v>0</v>
      </c>
      <c r="H20" t="str">
        <v>追加</v>
      </c>
      <c r="I20" s="2">
        <v>8</v>
      </c>
      <c r="J20" t="str">
        <v>FY27 Siatolのクラウド更改</v>
      </c>
    </row>
    <row r="21" spans="1:10">
      <c r="A21" t="str">
        <v>ローン自動審査移行評価(基盤)</v>
      </c>
      <c r="B21">
        <v>0</v>
      </c>
      <c r="C21">
        <v>0</v>
      </c>
      <c r="D21">
        <v>0</v>
      </c>
      <c r="E21" s="2">
        <v>33</v>
      </c>
      <c r="F21" s="2">
        <v>0</v>
      </c>
      <c r="G21">
        <v>33</v>
      </c>
      <c r="H21" t="str">
        <v>削除</v>
      </c>
      <c r="I21" s="2">
        <v>-33</v>
      </c>
      <c r="J21" t="str">
        <v>FY26に移行終了</v>
      </c>
    </row>
    <row r="22" spans="1:10">
      <c r="A22" t="str">
        <v>勘定系移行評価(基盤)1月</v>
      </c>
      <c r="B22">
        <v>0</v>
      </c>
      <c r="C22">
        <v>19</v>
      </c>
      <c r="D22">
        <v>19</v>
      </c>
      <c r="E22" s="2">
        <v>0</v>
      </c>
      <c r="F22" s="2">
        <v>0</v>
      </c>
      <c r="G22">
        <v>0</v>
      </c>
      <c r="H22" t="str">
        <v>追加</v>
      </c>
      <c r="I22" s="2">
        <v>19</v>
      </c>
      <c r="J22" t="str">
        <v>2027年1月福岡銀行基盤更改</v>
      </c>
    </row>
    <row r="23" spans="1:10">
      <c r="A23" t="str">
        <v>勘定系移行評価(基盤)9月</v>
      </c>
      <c r="B23">
        <v>0</v>
      </c>
      <c r="C23">
        <v>33</v>
      </c>
      <c r="D23">
        <v>33</v>
      </c>
      <c r="E23" s="2">
        <v>0</v>
      </c>
      <c r="F23" s="2">
        <v>0</v>
      </c>
      <c r="G23">
        <v>0</v>
      </c>
      <c r="H23" t="str">
        <v>追加</v>
      </c>
      <c r="I23" s="2">
        <v>33</v>
      </c>
      <c r="J23" t="str">
        <v>2026年9月熊本銀行基盤更改</v>
      </c>
    </row>
    <row r="24" spans="1:10">
      <c r="A24" t="str">
        <v>国際勘定系移行評価(基盤)</v>
      </c>
      <c r="B24">
        <v>0</v>
      </c>
      <c r="C24">
        <v>0</v>
      </c>
      <c r="D24">
        <v>0</v>
      </c>
      <c r="E24" s="2">
        <v>33</v>
      </c>
      <c r="F24" s="2">
        <v>0</v>
      </c>
      <c r="G24">
        <v>33</v>
      </c>
      <c r="H24" t="str">
        <v>削除</v>
      </c>
      <c r="I24" s="2">
        <v>-33</v>
      </c>
      <c r="J24" t="str">
        <v>FY26に移行終了</v>
      </c>
    </row>
    <row r="25" spans="1:10">
      <c r="A25" t="str">
        <v>資金証券(Siatol~NE, FM)移行評価</v>
      </c>
      <c r="B25">
        <v>0</v>
      </c>
      <c r="C25">
        <v>0</v>
      </c>
      <c r="D25">
        <v>0</v>
      </c>
      <c r="E25" s="2">
        <v>26</v>
      </c>
      <c r="F25" s="2">
        <v>0</v>
      </c>
      <c r="G25">
        <v>26</v>
      </c>
      <c r="H25" t="str">
        <v>削除</v>
      </c>
      <c r="I25" s="2">
        <v>-26</v>
      </c>
      <c r="J25" t="str">
        <v>FY26に移行終了</v>
      </c>
    </row>
    <row r="26" spans="1:10">
      <c r="A26" t="str">
        <v>資金証券(Siatol~NE, FM)新プロセス評価</v>
      </c>
      <c r="B26">
        <v>0</v>
      </c>
      <c r="C26">
        <v>0</v>
      </c>
      <c r="D26">
        <v>0</v>
      </c>
      <c r="E26" s="2">
        <v>39</v>
      </c>
      <c r="F26" s="2">
        <v>0</v>
      </c>
      <c r="G26">
        <v>39</v>
      </c>
      <c r="H26" t="str">
        <v>削除, 削除, 削除</v>
      </c>
      <c r="I26" s="2">
        <v>-39</v>
      </c>
      <c r="J26" t="str">
        <v>FY26限定トピック, FY26限定トピック, FY26限定トピック</v>
      </c>
    </row>
    <row r="27" spans="1:10">
      <c r="A27" t="str">
        <v>人事情報システム移行評価(クラウド基盤)</v>
      </c>
      <c r="B27">
        <v>0</v>
      </c>
      <c r="C27">
        <v>33</v>
      </c>
      <c r="D27">
        <v>33</v>
      </c>
      <c r="E27" s="2">
        <v>0</v>
      </c>
      <c r="F27" s="2">
        <v>0</v>
      </c>
      <c r="G27">
        <v>0</v>
      </c>
      <c r="H27" t="str">
        <v>追加</v>
      </c>
      <c r="I27" s="2">
        <v>33</v>
      </c>
      <c r="J27" t="str">
        <v>2026年8月にクラウド(COMPANY)更改</v>
      </c>
    </row>
    <row r="28" spans="1:10">
      <c r="A28" t="str">
        <v>融資支援RCM再検討</v>
      </c>
      <c r="B28">
        <v>0</v>
      </c>
      <c r="C28">
        <v>0</v>
      </c>
      <c r="D28">
        <v>0</v>
      </c>
      <c r="E28" s="2">
        <v>24</v>
      </c>
      <c r="F28" s="2">
        <v>0</v>
      </c>
      <c r="G28">
        <v>24</v>
      </c>
      <c r="H28" t="str">
        <v>削除</v>
      </c>
      <c r="I28" s="2">
        <v>-24</v>
      </c>
      <c r="J28" t="str">
        <v>J-SOX実施可能性がなくなったため、削除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2074-B6AA-4847-8C0F-13C67D18FF8F}">
  <dimension ref="A1:B12"/>
  <sheetViews>
    <sheetView workbookViewId="0">
      <selection activeCell="C16" sqref="C16"/>
    </sheetView>
  </sheetViews>
  <sheetFormatPr baseColWidth="10" defaultRowHeight="20"/>
  <cols>
    <col min="1" max="1" width="7.42578125" style="18" customWidth="1"/>
    <col min="2" max="2" width="12.5703125" customWidth="1"/>
  </cols>
  <sheetData>
    <row r="1" spans="1:2">
      <c r="A1" s="17" t="s">
        <v>123</v>
      </c>
      <c r="B1" s="14" t="s">
        <v>139</v>
      </c>
    </row>
    <row r="2" spans="1:2">
      <c r="A2" s="18" cm="1">
        <f t="array" ref="A2:B12">_xlfn.LET(
  _xlpm.月順, {7;8;9;10;11;12;1;2;3;4;5;6},
  _xlpm.集計結果, _xlfn.GROUPBY(T_FY27[実施月], T_FY27[FY27工数], _xleta.SUM, 0, 0, , T_FY27[実施月]&lt;&gt;""),
  _xlfn.SORTBY(_xlpm.集計結果, MATCH(INDEX(_xlpm.集計結果,,1), _xlpm.月順, 0))
)</f>
        <v>7</v>
      </c>
      <c r="B2">
        <v>19</v>
      </c>
    </row>
    <row r="3" spans="1:2">
      <c r="A3" s="18">
        <v>8</v>
      </c>
      <c r="B3">
        <v>67</v>
      </c>
    </row>
    <row r="4" spans="1:2">
      <c r="A4" s="18">
        <v>9</v>
      </c>
      <c r="B4">
        <v>569</v>
      </c>
    </row>
    <row r="5" spans="1:2">
      <c r="A5" s="18">
        <v>10</v>
      </c>
      <c r="B5">
        <v>253</v>
      </c>
    </row>
    <row r="6" spans="1:2">
      <c r="A6" s="18">
        <v>11</v>
      </c>
      <c r="B6">
        <v>33</v>
      </c>
    </row>
    <row r="7" spans="1:2">
      <c r="A7" s="18">
        <v>12</v>
      </c>
      <c r="B7">
        <v>16</v>
      </c>
    </row>
    <row r="8" spans="1:2">
      <c r="A8" s="18">
        <v>2</v>
      </c>
      <c r="B8">
        <v>466.5</v>
      </c>
    </row>
    <row r="9" spans="1:2">
      <c r="A9" s="18">
        <v>3</v>
      </c>
      <c r="B9">
        <v>49</v>
      </c>
    </row>
    <row r="10" spans="1:2">
      <c r="A10" s="18">
        <v>4</v>
      </c>
      <c r="B10">
        <v>223.5</v>
      </c>
    </row>
    <row r="11" spans="1:2">
      <c r="A11" s="18">
        <v>6</v>
      </c>
      <c r="B11">
        <v>103</v>
      </c>
    </row>
    <row r="12" spans="1:2">
      <c r="A12" s="18" t="str">
        <v>-</v>
      </c>
      <c r="B12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DFA8-EA9A-954B-BE99-348AFC612187}">
  <dimension ref="A1:B4"/>
  <sheetViews>
    <sheetView workbookViewId="0">
      <selection activeCell="E26" sqref="E26"/>
    </sheetView>
  </sheetViews>
  <sheetFormatPr baseColWidth="10" defaultRowHeight="20"/>
  <sheetData>
    <row r="1" spans="1:2">
      <c r="A1" t="str" cm="1">
        <f t="array" ref="A1:B4">_xlfn.LET(
  _xlpm.総工数, T_FY27[FY27工数],
  _xlpm.担1, T_FY27[担当1],
  _xlpm.担2, T_FY27[担当2],
  _xlpm.担3, T_FY27[担当3],
  _xlpm.人数, (_xlpm.担1&lt;&gt;"") + (_xlpm.担2&lt;&gt;"") + (_xlpm.担3&lt;&gt;""),
  _xlpm.安全人数, IF(_xlpm.人数=0, 1, _xlpm.人数),
  _xlpm.ベース, INT(_xlpm.総工数 / _xlpm.安全人数),
  _xlpm.余り, MOD(_xlpm.総工数, _xlpm.安全人数),
  _xlpm.工数1, IF(_xlpm.担1&lt;&gt;"", _xlpm.ベース + (_xlpm.余り&gt;=1), 0),
  _xlpm.工数2, IF(_xlpm.担2&lt;&gt;"", _xlpm.ベース + (_xlpm.余り&gt;=2), 0),
  _xlpm.工数3, IF(_xlpm.担3&lt;&gt;"", _xlpm.ベース, 0),
  _xlpm.全名前, _xlfn.VSTACK(_xlpm.担1, _xlpm.担2, _xlpm.担3),
  _xlpm.全工数, _xlfn.VSTACK(_xlpm.工数1, _xlpm.工数2, _xlpm.工数3),
  _xlpm.集計, _xlfn.GROUPBY(_xlpm.全名前, _xlpm.全工数, _xleta.SUM, 0, 0, , (_xlpm.全名前&lt;&gt;"")*(_xlpm.全名前&lt;&gt;0)),
  _xlfn.VSTACK({"担当者","分配後工数"}, _xlpm.集計)
)</f>
        <v>担当者</v>
      </c>
      <c r="B1" t="str">
        <v>分配後工数</v>
      </c>
    </row>
    <row r="2" spans="1:2">
      <c r="A2" t="str">
        <v>A</v>
      </c>
      <c r="B2">
        <v>14</v>
      </c>
    </row>
    <row r="3" spans="1:2">
      <c r="A3" t="str">
        <v>B</v>
      </c>
      <c r="B3">
        <v>14</v>
      </c>
    </row>
    <row r="4" spans="1:2">
      <c r="A4" t="str">
        <v>C</v>
      </c>
      <c r="B4">
        <v>13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2097-DE68-C74B-A7E0-C39FEDA41483}">
  <dimension ref="A1"/>
  <sheetViews>
    <sheetView workbookViewId="0">
      <selection activeCell="A2" sqref="A2"/>
    </sheetView>
  </sheetViews>
  <sheetFormatPr baseColWidth="10" defaultRowHeight="20"/>
  <sheetData>
    <row r="1" spans="1:1">
      <c r="A1" t="e" cm="1">
        <f t="array" aca="1" ref="A1" ca="1">_xlfn.HSTACK(
  _xlfn.GROUPBY(FY27工数!E2:E1011, FY27工数!G2:I1011, _xleta.SUM, 0, 0, , FY27工数!K2:K1011&lt;&gt;""),
  _xlfn.CHOOSECOLS(_xlfn.GROUPBY(FY27工数!E2:E1011, FY27工数!Q2:Q1011, LAMBDA(x, _xlfn.ARRAYTOTEXT(_xlfn.UNIQUE(x))), 0, 0, , FY27工数!K2:K1011&lt;&gt;""), 2)
)</f>
        <v>#NAME?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A5FE-114D-4549-884C-CD0131E80F2D}">
  <dimension ref="A1:F55"/>
  <sheetViews>
    <sheetView workbookViewId="0">
      <selection activeCell="C9" sqref="C9"/>
    </sheetView>
  </sheetViews>
  <sheetFormatPr baseColWidth="10" defaultRowHeight="20"/>
  <cols>
    <col min="1" max="1" width="28" customWidth="1"/>
  </cols>
  <sheetData>
    <row r="1" spans="1:6">
      <c r="A1" t="str" cm="1">
        <f t="array" ref="A1:F55">_xlfn.LET(
  _xlpm.担1, T_FY27[担当1]&amp;"",
  _xlpm.担2, T_FY27[担当2]&amp;"",
  _xlpm.担3, T_FY27[担当3]&amp;"",
  _xlpm.担当まとめ, _xlpm.担1 &amp; IF(_xlpm.担2&lt;&gt;"", ", "&amp;_xlpm.担2, "") &amp; IF(_xlpm.担3&lt;&gt;"", ", "&amp;_xlpm.担3, ""),
  _xlfn.PIVOTBY(T_FY27[タスク名], T_FY27[中カテゴリ], _xlpm.担当まとめ, _xleta.ARRAYTOTEXT, 3, 0, , 0, , T_FY27[大カテゴリ]="ITGC")
)</f>
        <v/>
      </c>
      <c r="B1" t="str">
        <v>WT</v>
      </c>
      <c r="C1" t="str">
        <v/>
      </c>
      <c r="D1" t="str">
        <v/>
      </c>
      <c r="E1" t="str">
        <v/>
      </c>
      <c r="F1" t="str">
        <v/>
      </c>
    </row>
    <row r="2" spans="1:6">
      <c r="A2" t="str">
        <v/>
      </c>
      <c r="B2" t="str">
        <v>315対応</v>
      </c>
      <c r="C2" t="str">
        <v>RF</v>
      </c>
      <c r="D2" t="str">
        <v>TOC</v>
      </c>
      <c r="E2" t="str">
        <v>WT</v>
      </c>
      <c r="F2" t="str">
        <v>移行</v>
      </c>
    </row>
    <row r="3" spans="1:6">
      <c r="A3" t="str">
        <v>勘定系</v>
      </c>
      <c r="B3" t="str">
        <v>A, B, C</v>
      </c>
      <c r="C3" t="str">
        <v>A, B, C</v>
      </c>
      <c r="D3" t="str">
        <v>A, B, C</v>
      </c>
      <c r="E3" t="str">
        <v>A, B, C</v>
      </c>
      <c r="F3" t="str">
        <v>A, B, C</v>
      </c>
    </row>
    <row r="4" spans="1:6">
      <c r="A4" t="str">
        <v>(FFG) 勘定奉行＊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 spans="1:6">
      <c r="A5" t="str">
        <v>(FFG) 連結納税＊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 spans="1:6">
      <c r="A6" t="str">
        <v>(FFG)リスク管理高度化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 spans="1:6">
      <c r="A7" t="str">
        <v>(旧) 人事情報システム(MC, MA, MO)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 spans="1:6">
      <c r="A8" t="str">
        <v>(新)人事情報システム(MA)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 spans="1:6">
      <c r="A9" t="str">
        <v>(新)人事情報システム(SOC)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 spans="1:6">
      <c r="A10" t="str">
        <v>(新)人事情報システム(相補的)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 spans="1:6">
      <c r="A11" t="str">
        <v>BancMeasure+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 spans="1:6">
      <c r="A12" t="str">
        <v>BESTWAY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 spans="1:6">
      <c r="A13" t="str">
        <v>FFGカード関連外部サービス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 spans="1:6">
      <c r="A14" t="str">
        <v>FFGクラウド(AWS) 束ね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 spans="1:6">
      <c r="A15" t="str">
        <v>honorJS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 spans="1:6">
      <c r="A16" t="str">
        <v>MA(不動産・人事・Siatol・財務・時価)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 spans="1:6">
      <c r="A17" t="str">
        <v>MC束ね(不動産・人事・Siatol・国際・収益・財務・時価・固定資産)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 spans="1:6">
      <c r="A18" t="str">
        <v>MC束ね(本部決裁・個人ローン・投資経費)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 spans="1:6">
      <c r="A19" t="str">
        <v>MOバックアップ束ね(Siatol・個人ローン・国際・収益・時価)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 spans="1:6">
      <c r="A20" t="str">
        <v>MO障害束ね(Siatol・個人ローン・国際・収益・時価)</v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 spans="1:6">
      <c r="A21" t="str">
        <v>MO束ね(本部決裁・不動産・人事・時価・固定・FFG勘定奉行)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 spans="1:6">
      <c r="A22" t="str">
        <v>Nomura i-Port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 spans="1:6">
      <c r="A23" t="str">
        <v>PRASa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 spans="1:6">
      <c r="A24" t="str">
        <v>RPA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 spans="1:6">
      <c r="A25" t="str">
        <v>Siatol MC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 spans="1:6">
      <c r="A26" t="str">
        <v>Siatol MO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 spans="1:6">
      <c r="A27" t="str">
        <v>Siatol(MAアプリ、MAインフラ)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 spans="1:6">
      <c r="A28" t="str">
        <v>サミット(VISA)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 spans="1:6">
      <c r="A29" t="str">
        <v>ジニアス(JCB)</v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 spans="1:6">
      <c r="A30" t="str">
        <v>データエントリー</v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 spans="1:6">
      <c r="A31" t="str">
        <v>デ直束ね(融資支援・個人ローン・国際勘定)</v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 spans="1:6">
      <c r="A32" t="str">
        <v>ローン自動審査移行評価(基盤)</v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 spans="1:6">
      <c r="A33" t="str">
        <v>勘定系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 spans="1:6">
      <c r="A34" t="str">
        <v>勘定系・融資支援(MCインフラ束ね)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 spans="1:6">
      <c r="A35" t="str">
        <v>勘定系・融資支援(MO障害束ね)</v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 spans="1:6">
      <c r="A36" t="str">
        <v>勘定系移行評価(基盤)1月</v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 spans="1:6">
      <c r="A37" t="str">
        <v>勘定系移行評価(基盤)9月</v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 spans="1:6">
      <c r="A38" t="str">
        <v>個人IB</v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 spans="1:6">
      <c r="A39" t="str">
        <v>固定資産(MA)</v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 spans="1:6">
      <c r="A40" t="str">
        <v>国際勘定(MA)</v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 spans="1:6">
      <c r="A41" t="str">
        <v>国際勘定系移行評価(基盤)</v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 spans="1:6">
      <c r="A42" t="str">
        <v>市場金利情報伝送</v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 spans="1:6">
      <c r="A43" t="str">
        <v>資金証券(Siatol~NE, FM)移行評価</v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 spans="1:6">
      <c r="A44" t="str">
        <v>資金証券(Siatol~NE, FM)新プロセス評価</v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 spans="1:6">
      <c r="A45" t="str">
        <v>時価開示(MAインフラ)</v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 spans="1:6">
      <c r="A46" t="str">
        <v>自動仕訳システム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 spans="1:6">
      <c r="A47" t="str">
        <v>人事情報システム移行評価(クラウド基盤)</v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 spans="1:6">
      <c r="A48" t="str">
        <v>退職給付債務計算ソフト</v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 spans="1:6">
      <c r="A49" t="str">
        <v>投資経費(MA,MO)</v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 spans="1:6">
      <c r="A50" t="str">
        <v>特権ID管理システム(AccessCheck)</v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 spans="1:6">
      <c r="A51" t="str">
        <v>特権ID管理システム(iOperation)</v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 spans="1:6">
      <c r="A52" t="str">
        <v>法人IB</v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 spans="1:6">
      <c r="A53" t="str">
        <v>本部決算(MAアプリ・MAインフラ)</v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 spans="1:6">
      <c r="A54" t="str">
        <v>融資支援</v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 spans="1:6">
      <c r="A55" t="str">
        <v>融資支援(MO束ね)</v>
      </c>
      <c r="B55" t="str">
        <v/>
      </c>
      <c r="C55" t="str">
        <v/>
      </c>
      <c r="D55" t="str">
        <v/>
      </c>
      <c r="E55" t="str">
        <v/>
      </c>
      <c r="F55" t="str">
        <v/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5B10-89F1-BA47-B0EF-863F8496911F}">
  <dimension ref="A1:R177"/>
  <sheetViews>
    <sheetView tabSelected="1" workbookViewId="0">
      <selection activeCell="H94" sqref="H94"/>
    </sheetView>
  </sheetViews>
  <sheetFormatPr baseColWidth="10" defaultRowHeight="20"/>
  <cols>
    <col min="2" max="3" width="11.5703125" customWidth="1"/>
    <col min="4" max="4" width="10" customWidth="1"/>
    <col min="5" max="5" width="37.5703125" customWidth="1"/>
    <col min="6" max="6" width="37.5703125" hidden="1" customWidth="1"/>
    <col min="7" max="7" width="10" style="8" customWidth="1"/>
    <col min="8" max="8" width="9.85546875" style="8" customWidth="1"/>
    <col min="9" max="9" width="10.7109375" style="8"/>
    <col min="10" max="10" width="10.7109375" style="8" customWidth="1"/>
    <col min="11" max="11" width="8.140625" style="2" customWidth="1"/>
    <col min="12" max="12" width="8.85546875" style="2" customWidth="1"/>
    <col min="13" max="13" width="8.140625" style="10" customWidth="1"/>
    <col min="14" max="14" width="8.85546875" customWidth="1"/>
    <col min="15" max="15" width="9.28515625" customWidth="1"/>
    <col min="16" max="16" width="8.7109375" customWidth="1"/>
    <col min="17" max="17" width="46.5703125" customWidth="1"/>
    <col min="18" max="18" width="45.85546875" customWidth="1"/>
  </cols>
  <sheetData>
    <row r="1" spans="1:18">
      <c r="A1" t="s">
        <v>0</v>
      </c>
      <c r="B1" t="s">
        <v>1</v>
      </c>
      <c r="C1" t="s">
        <v>2</v>
      </c>
      <c r="D1" t="s">
        <v>140</v>
      </c>
      <c r="E1" t="s">
        <v>3</v>
      </c>
      <c r="F1" t="s">
        <v>185</v>
      </c>
      <c r="G1" s="8" t="s">
        <v>4</v>
      </c>
      <c r="H1" s="8" t="s">
        <v>5</v>
      </c>
      <c r="I1" s="8" t="s">
        <v>9</v>
      </c>
      <c r="J1" s="8" t="s">
        <v>124</v>
      </c>
      <c r="K1" s="2" t="s">
        <v>125</v>
      </c>
      <c r="L1" s="2" t="s">
        <v>138</v>
      </c>
      <c r="M1" s="10" t="s">
        <v>123</v>
      </c>
      <c r="N1" t="s">
        <v>6</v>
      </c>
      <c r="O1" t="s">
        <v>7</v>
      </c>
      <c r="P1" t="s">
        <v>8</v>
      </c>
      <c r="Q1" t="s">
        <v>128</v>
      </c>
      <c r="R1" t="s">
        <v>10</v>
      </c>
    </row>
    <row r="2" spans="1:18">
      <c r="A2" s="1" t="s">
        <v>11</v>
      </c>
      <c r="B2" s="1" t="s">
        <v>12</v>
      </c>
      <c r="C2" s="1" t="s">
        <v>13</v>
      </c>
      <c r="D2" s="1" t="s">
        <v>142</v>
      </c>
      <c r="E2" s="1" t="s">
        <v>14</v>
      </c>
      <c r="F2" s="1" t="str">
        <f>T_FY27[[#This Row],[Eng.]]&amp;T_FY27[[#This Row],[大カテゴリ]]&amp;T_FY27[[#This Row],[中カテゴリ]]&amp;T_FY27[[#This Row],[タスク名]]</f>
        <v>FFGITGCWT勘定系</v>
      </c>
      <c r="G2" s="9">
        <v>41</v>
      </c>
      <c r="H2" s="9"/>
      <c r="I2" s="8">
        <f>SUM(T_FY27[[#This Row],[恒久工数]:[一時工数]])</f>
        <v>41</v>
      </c>
      <c r="J2" s="8">
        <f>_xlfn.XLOOKUP(T_FY27[[#This Row],[(作業用)タスク結合名]],FY26工数!$F:$F,FY26工数!$I:$I,0)</f>
        <v>41</v>
      </c>
      <c r="K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" s="2" t="str">
        <f>IF(T_FY27[[#This Row],[FY27工数]]=T_FY27[[#This Row],[FY26工数]], "", T_FY27[[#This Row],[FY27工数]]-T_FY27[[#This Row],[FY26工数]])</f>
        <v/>
      </c>
      <c r="M2" s="11">
        <v>9</v>
      </c>
      <c r="N2" t="s">
        <v>135</v>
      </c>
      <c r="O2" t="s">
        <v>136</v>
      </c>
      <c r="P2" t="s">
        <v>137</v>
      </c>
    </row>
    <row r="3" spans="1:18">
      <c r="A3" s="1" t="s">
        <v>11</v>
      </c>
      <c r="B3" s="1" t="s">
        <v>12</v>
      </c>
      <c r="C3" s="1" t="s">
        <v>15</v>
      </c>
      <c r="D3" s="1" t="s">
        <v>142</v>
      </c>
      <c r="E3" s="1" t="s">
        <v>14</v>
      </c>
      <c r="F3" s="1" t="str">
        <f>T_FY27[[#This Row],[Eng.]]&amp;T_FY27[[#This Row],[大カテゴリ]]&amp;T_FY27[[#This Row],[中カテゴリ]]&amp;T_FY27[[#This Row],[タスク名]]</f>
        <v>FFGITGCTOC勘定系</v>
      </c>
      <c r="G3" s="9">
        <v>45</v>
      </c>
      <c r="H3" s="9"/>
      <c r="I3" s="8">
        <f>SUM(T_FY27[[#This Row],[恒久工数]:[一時工数]])</f>
        <v>45</v>
      </c>
      <c r="J3" s="8">
        <f>_xlfn.XLOOKUP(T_FY27[[#This Row],[(作業用)タスク結合名]],FY26工数!$F:$F,FY26工数!$I:$I,0)</f>
        <v>45</v>
      </c>
      <c r="K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3" s="2" t="str">
        <f>IF(T_FY27[[#This Row],[FY27工数]]=T_FY27[[#This Row],[FY26工数]], "", T_FY27[[#This Row],[FY27工数]]-T_FY27[[#This Row],[FY26工数]])</f>
        <v/>
      </c>
      <c r="M3" s="11">
        <v>2</v>
      </c>
    </row>
    <row r="4" spans="1:18">
      <c r="A4" s="1" t="s">
        <v>11</v>
      </c>
      <c r="B4" s="1" t="s">
        <v>12</v>
      </c>
      <c r="C4" s="1" t="s">
        <v>16</v>
      </c>
      <c r="D4" s="1" t="s">
        <v>142</v>
      </c>
      <c r="E4" s="1" t="s">
        <v>14</v>
      </c>
      <c r="F4" s="1" t="str">
        <f>T_FY27[[#This Row],[Eng.]]&amp;T_FY27[[#This Row],[大カテゴリ]]&amp;T_FY27[[#This Row],[中カテゴリ]]&amp;T_FY27[[#This Row],[タスク名]]</f>
        <v>FFGITGCRF勘定系</v>
      </c>
      <c r="G4" s="9">
        <v>11</v>
      </c>
      <c r="H4" s="9"/>
      <c r="I4" s="8">
        <f>SUM(T_FY27[[#This Row],[恒久工数]:[一時工数]])</f>
        <v>11</v>
      </c>
      <c r="J4" s="8">
        <f>_xlfn.XLOOKUP(T_FY27[[#This Row],[(作業用)タスク結合名]],FY26工数!$F:$F,FY26工数!$I:$I,0)</f>
        <v>11</v>
      </c>
      <c r="K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4" s="2" t="str">
        <f>IF(T_FY27[[#This Row],[FY27工数]]=T_FY27[[#This Row],[FY26工数]], "", T_FY27[[#This Row],[FY27工数]]-T_FY27[[#This Row],[FY26工数]])</f>
        <v/>
      </c>
      <c r="M4" s="11">
        <v>4</v>
      </c>
    </row>
    <row r="5" spans="1:18">
      <c r="A5" s="1" t="s">
        <v>11</v>
      </c>
      <c r="B5" s="1" t="s">
        <v>12</v>
      </c>
      <c r="C5" s="1" t="s">
        <v>13</v>
      </c>
      <c r="D5" s="1" t="s">
        <v>167</v>
      </c>
      <c r="E5" s="1" t="s">
        <v>17</v>
      </c>
      <c r="F5" s="1" t="str">
        <f>T_FY27[[#This Row],[Eng.]]&amp;T_FY27[[#This Row],[大カテゴリ]]&amp;T_FY27[[#This Row],[中カテゴリ]]&amp;T_FY27[[#This Row],[タスク名]]</f>
        <v>FFGITGCWT勘定系・融資支援(MCインフラ束ね)</v>
      </c>
      <c r="G5" s="9">
        <v>10</v>
      </c>
      <c r="H5" s="9"/>
      <c r="I5" s="8">
        <f>SUM(T_FY27[[#This Row],[恒久工数]:[一時工数]])</f>
        <v>10</v>
      </c>
      <c r="J5" s="8">
        <f>_xlfn.XLOOKUP(T_FY27[[#This Row],[(作業用)タスク結合名]],FY26工数!$F:$F,FY26工数!$I:$I,0)</f>
        <v>10</v>
      </c>
      <c r="K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" s="2" t="str">
        <f>IF(T_FY27[[#This Row],[FY27工数]]=T_FY27[[#This Row],[FY26工数]], "", T_FY27[[#This Row],[FY27工数]]-T_FY27[[#This Row],[FY26工数]])</f>
        <v/>
      </c>
      <c r="M5" s="11">
        <v>9</v>
      </c>
    </row>
    <row r="6" spans="1:18">
      <c r="A6" s="1" t="s">
        <v>11</v>
      </c>
      <c r="B6" s="1" t="s">
        <v>12</v>
      </c>
      <c r="C6" s="1" t="s">
        <v>15</v>
      </c>
      <c r="D6" s="1" t="s">
        <v>167</v>
      </c>
      <c r="E6" s="1" t="s">
        <v>17</v>
      </c>
      <c r="F6" s="1" t="str">
        <f>T_FY27[[#This Row],[Eng.]]&amp;T_FY27[[#This Row],[大カテゴリ]]&amp;T_FY27[[#This Row],[中カテゴリ]]&amp;T_FY27[[#This Row],[タスク名]]</f>
        <v>FFGITGCTOC勘定系・融資支援(MCインフラ束ね)</v>
      </c>
      <c r="G6" s="9">
        <v>12</v>
      </c>
      <c r="H6" s="9"/>
      <c r="I6" s="8">
        <f>SUM(T_FY27[[#This Row],[恒久工数]:[一時工数]])</f>
        <v>12</v>
      </c>
      <c r="J6" s="8">
        <f>_xlfn.XLOOKUP(T_FY27[[#This Row],[(作業用)タスク結合名]],FY26工数!$F:$F,FY26工数!$I:$I,0)</f>
        <v>12</v>
      </c>
      <c r="K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" s="2" t="str">
        <f>IF(T_FY27[[#This Row],[FY27工数]]=T_FY27[[#This Row],[FY26工数]], "", T_FY27[[#This Row],[FY27工数]]-T_FY27[[#This Row],[FY26工数]])</f>
        <v/>
      </c>
      <c r="M6" s="11">
        <v>2</v>
      </c>
    </row>
    <row r="7" spans="1:18">
      <c r="A7" s="1" t="s">
        <v>11</v>
      </c>
      <c r="B7" s="1" t="s">
        <v>12</v>
      </c>
      <c r="C7" s="1" t="s">
        <v>16</v>
      </c>
      <c r="D7" s="1" t="s">
        <v>167</v>
      </c>
      <c r="E7" s="1" t="s">
        <v>17</v>
      </c>
      <c r="F7" s="1" t="str">
        <f>T_FY27[[#This Row],[Eng.]]&amp;T_FY27[[#This Row],[大カテゴリ]]&amp;T_FY27[[#This Row],[中カテゴリ]]&amp;T_FY27[[#This Row],[タスク名]]</f>
        <v>FFGITGCRF勘定系・融資支援(MCインフラ束ね)</v>
      </c>
      <c r="G7" s="9">
        <v>4</v>
      </c>
      <c r="H7" s="9"/>
      <c r="I7" s="8">
        <f>SUM(T_FY27[[#This Row],[恒久工数]:[一時工数]])</f>
        <v>4</v>
      </c>
      <c r="J7" s="8">
        <f>_xlfn.XLOOKUP(T_FY27[[#This Row],[(作業用)タスク結合名]],FY26工数!$F:$F,FY26工数!$I:$I,0)</f>
        <v>4</v>
      </c>
      <c r="K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7" s="2" t="str">
        <f>IF(T_FY27[[#This Row],[FY27工数]]=T_FY27[[#This Row],[FY26工数]], "", T_FY27[[#This Row],[FY27工数]]-T_FY27[[#This Row],[FY26工数]])</f>
        <v/>
      </c>
      <c r="M7" s="11">
        <v>4</v>
      </c>
    </row>
    <row r="8" spans="1:18">
      <c r="A8" s="1" t="s">
        <v>11</v>
      </c>
      <c r="B8" s="1" t="s">
        <v>12</v>
      </c>
      <c r="C8" s="1" t="s">
        <v>13</v>
      </c>
      <c r="D8" s="1" t="s">
        <v>168</v>
      </c>
      <c r="E8" s="1" t="s">
        <v>18</v>
      </c>
      <c r="F8" s="1" t="str">
        <f>T_FY27[[#This Row],[Eng.]]&amp;T_FY27[[#This Row],[大カテゴリ]]&amp;T_FY27[[#This Row],[中カテゴリ]]&amp;T_FY27[[#This Row],[タスク名]]</f>
        <v>FFGITGCWT勘定系・融資支援(MO障害束ね)</v>
      </c>
      <c r="G8" s="9">
        <v>10</v>
      </c>
      <c r="H8" s="9"/>
      <c r="I8" s="8">
        <f>SUM(T_FY27[[#This Row],[恒久工数]:[一時工数]])</f>
        <v>10</v>
      </c>
      <c r="J8" s="8">
        <f>_xlfn.XLOOKUP(T_FY27[[#This Row],[(作業用)タスク結合名]],FY26工数!$F:$F,FY26工数!$I:$I,0)</f>
        <v>10</v>
      </c>
      <c r="K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8" s="2" t="str">
        <f>IF(T_FY27[[#This Row],[FY27工数]]=T_FY27[[#This Row],[FY26工数]], "", T_FY27[[#This Row],[FY27工数]]-T_FY27[[#This Row],[FY26工数]])</f>
        <v/>
      </c>
      <c r="M8" s="11">
        <v>9</v>
      </c>
    </row>
    <row r="9" spans="1:18">
      <c r="A9" s="1" t="s">
        <v>11</v>
      </c>
      <c r="B9" s="1" t="s">
        <v>12</v>
      </c>
      <c r="C9" s="1" t="s">
        <v>15</v>
      </c>
      <c r="D9" s="1" t="s">
        <v>168</v>
      </c>
      <c r="E9" s="1" t="s">
        <v>18</v>
      </c>
      <c r="F9" s="1" t="str">
        <f>T_FY27[[#This Row],[Eng.]]&amp;T_FY27[[#This Row],[大カテゴリ]]&amp;T_FY27[[#This Row],[中カテゴリ]]&amp;T_FY27[[#This Row],[タスク名]]</f>
        <v>FFGITGCTOC勘定系・融資支援(MO障害束ね)</v>
      </c>
      <c r="G9" s="9">
        <v>12</v>
      </c>
      <c r="H9" s="9"/>
      <c r="I9" s="8">
        <f>SUM(T_FY27[[#This Row],[恒久工数]:[一時工数]])</f>
        <v>12</v>
      </c>
      <c r="J9" s="8">
        <f>_xlfn.XLOOKUP(T_FY27[[#This Row],[(作業用)タスク結合名]],FY26工数!$F:$F,FY26工数!$I:$I,0)</f>
        <v>12</v>
      </c>
      <c r="K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9" s="2" t="str">
        <f>IF(T_FY27[[#This Row],[FY27工数]]=T_FY27[[#This Row],[FY26工数]], "", T_FY27[[#This Row],[FY27工数]]-T_FY27[[#This Row],[FY26工数]])</f>
        <v/>
      </c>
      <c r="M9" s="11">
        <v>2</v>
      </c>
    </row>
    <row r="10" spans="1:18">
      <c r="A10" s="1" t="s">
        <v>11</v>
      </c>
      <c r="B10" s="1" t="s">
        <v>12</v>
      </c>
      <c r="C10" s="1" t="s">
        <v>16</v>
      </c>
      <c r="D10" s="1" t="s">
        <v>168</v>
      </c>
      <c r="E10" s="1" t="s">
        <v>18</v>
      </c>
      <c r="F10" s="1" t="str">
        <f>T_FY27[[#This Row],[Eng.]]&amp;T_FY27[[#This Row],[大カテゴリ]]&amp;T_FY27[[#This Row],[中カテゴリ]]&amp;T_FY27[[#This Row],[タスク名]]</f>
        <v>FFGITGCRF勘定系・融資支援(MO障害束ね)</v>
      </c>
      <c r="G10" s="9">
        <v>4</v>
      </c>
      <c r="H10" s="9"/>
      <c r="I10" s="8">
        <f>SUM(T_FY27[[#This Row],[恒久工数]:[一時工数]])</f>
        <v>4</v>
      </c>
      <c r="J10" s="8">
        <f>_xlfn.XLOOKUP(T_FY27[[#This Row],[(作業用)タスク結合名]],FY26工数!$F:$F,FY26工数!$I:$I,0)</f>
        <v>4</v>
      </c>
      <c r="K1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" s="2" t="str">
        <f>IF(T_FY27[[#This Row],[FY27工数]]=T_FY27[[#This Row],[FY26工数]], "", T_FY27[[#This Row],[FY27工数]]-T_FY27[[#This Row],[FY26工数]])</f>
        <v/>
      </c>
      <c r="M10" s="11">
        <v>4</v>
      </c>
    </row>
    <row r="11" spans="1:18">
      <c r="A11" s="1" t="s">
        <v>11</v>
      </c>
      <c r="B11" s="1" t="s">
        <v>12</v>
      </c>
      <c r="C11" s="1" t="s">
        <v>13</v>
      </c>
      <c r="D11" s="1" t="s">
        <v>143</v>
      </c>
      <c r="E11" s="1" t="s">
        <v>19</v>
      </c>
      <c r="F11" s="1" t="str">
        <f>T_FY27[[#This Row],[Eng.]]&amp;T_FY27[[#This Row],[大カテゴリ]]&amp;T_FY27[[#This Row],[中カテゴリ]]&amp;T_FY27[[#This Row],[タスク名]]</f>
        <v>FFGITGCWT融資支援</v>
      </c>
      <c r="G11" s="9">
        <v>33</v>
      </c>
      <c r="H11" s="9"/>
      <c r="I11" s="8">
        <f>SUM(T_FY27[[#This Row],[恒久工数]:[一時工数]])</f>
        <v>33</v>
      </c>
      <c r="J11" s="8">
        <f>_xlfn.XLOOKUP(T_FY27[[#This Row],[(作業用)タスク結合名]],FY26工数!$F:$F,FY26工数!$I:$I,0)</f>
        <v>33</v>
      </c>
      <c r="K1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" s="2" t="str">
        <f>IF(T_FY27[[#This Row],[FY27工数]]=T_FY27[[#This Row],[FY26工数]], "", T_FY27[[#This Row],[FY27工数]]-T_FY27[[#This Row],[FY26工数]])</f>
        <v/>
      </c>
      <c r="M11" s="11">
        <v>9</v>
      </c>
    </row>
    <row r="12" spans="1:18">
      <c r="A12" s="1" t="s">
        <v>11</v>
      </c>
      <c r="B12" s="1" t="s">
        <v>12</v>
      </c>
      <c r="C12" s="1" t="s">
        <v>15</v>
      </c>
      <c r="D12" s="1" t="s">
        <v>143</v>
      </c>
      <c r="E12" s="1" t="s">
        <v>19</v>
      </c>
      <c r="F12" s="1" t="str">
        <f>T_FY27[[#This Row],[Eng.]]&amp;T_FY27[[#This Row],[大カテゴリ]]&amp;T_FY27[[#This Row],[中カテゴリ]]&amp;T_FY27[[#This Row],[タスク名]]</f>
        <v>FFGITGCTOC融資支援</v>
      </c>
      <c r="G12" s="9">
        <v>45</v>
      </c>
      <c r="H12" s="9"/>
      <c r="I12" s="8">
        <f>SUM(T_FY27[[#This Row],[恒久工数]:[一時工数]])</f>
        <v>45</v>
      </c>
      <c r="J12" s="8">
        <f>_xlfn.XLOOKUP(T_FY27[[#This Row],[(作業用)タスク結合名]],FY26工数!$F:$F,FY26工数!$I:$I,0)</f>
        <v>45</v>
      </c>
      <c r="K1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" s="2" t="str">
        <f>IF(T_FY27[[#This Row],[FY27工数]]=T_FY27[[#This Row],[FY26工数]], "", T_FY27[[#This Row],[FY27工数]]-T_FY27[[#This Row],[FY26工数]])</f>
        <v/>
      </c>
      <c r="M12" s="11">
        <v>2</v>
      </c>
    </row>
    <row r="13" spans="1:18">
      <c r="A13" s="1" t="s">
        <v>11</v>
      </c>
      <c r="B13" s="1" t="s">
        <v>12</v>
      </c>
      <c r="C13" s="1" t="s">
        <v>16</v>
      </c>
      <c r="D13" s="1" t="s">
        <v>143</v>
      </c>
      <c r="E13" s="1" t="s">
        <v>19</v>
      </c>
      <c r="F13" s="1" t="str">
        <f>T_FY27[[#This Row],[Eng.]]&amp;T_FY27[[#This Row],[大カテゴリ]]&amp;T_FY27[[#This Row],[中カテゴリ]]&amp;T_FY27[[#This Row],[タスク名]]</f>
        <v>FFGITGCRF融資支援</v>
      </c>
      <c r="G13" s="9">
        <v>6</v>
      </c>
      <c r="H13" s="9"/>
      <c r="I13" s="8">
        <f>SUM(T_FY27[[#This Row],[恒久工数]:[一時工数]])</f>
        <v>6</v>
      </c>
      <c r="J13" s="8">
        <f>_xlfn.XLOOKUP(T_FY27[[#This Row],[(作業用)タスク結合名]],FY26工数!$F:$F,FY26工数!$I:$I,0)</f>
        <v>6</v>
      </c>
      <c r="K1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" s="2" t="str">
        <f>IF(T_FY27[[#This Row],[FY27工数]]=T_FY27[[#This Row],[FY26工数]], "", T_FY27[[#This Row],[FY27工数]]-T_FY27[[#This Row],[FY26工数]])</f>
        <v/>
      </c>
      <c r="M13" s="11">
        <v>4</v>
      </c>
    </row>
    <row r="14" spans="1:18">
      <c r="A14" s="1" t="s">
        <v>11</v>
      </c>
      <c r="B14" s="1" t="s">
        <v>12</v>
      </c>
      <c r="C14" s="1" t="s">
        <v>13</v>
      </c>
      <c r="D14" s="1" t="s">
        <v>144</v>
      </c>
      <c r="E14" s="1" t="s">
        <v>20</v>
      </c>
      <c r="F14" s="1" t="str">
        <f>T_FY27[[#This Row],[Eng.]]&amp;T_FY27[[#This Row],[大カテゴリ]]&amp;T_FY27[[#This Row],[中カテゴリ]]&amp;T_FY27[[#This Row],[タスク名]]</f>
        <v>FFGITGCWT融資支援(MO束ね)</v>
      </c>
      <c r="G14" s="9">
        <v>7</v>
      </c>
      <c r="H14" s="9"/>
      <c r="I14" s="8">
        <f>SUM(T_FY27[[#This Row],[恒久工数]:[一時工数]])</f>
        <v>7</v>
      </c>
      <c r="J14" s="8">
        <f>_xlfn.XLOOKUP(T_FY27[[#This Row],[(作業用)タスク結合名]],FY26工数!$F:$F,FY26工数!$I:$I,0)</f>
        <v>7</v>
      </c>
      <c r="K1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" s="2" t="str">
        <f>IF(T_FY27[[#This Row],[FY27工数]]=T_FY27[[#This Row],[FY26工数]], "", T_FY27[[#This Row],[FY27工数]]-T_FY27[[#This Row],[FY26工数]])</f>
        <v/>
      </c>
      <c r="M14" s="11">
        <v>9</v>
      </c>
    </row>
    <row r="15" spans="1:18">
      <c r="A15" s="1" t="s">
        <v>11</v>
      </c>
      <c r="B15" s="1" t="s">
        <v>12</v>
      </c>
      <c r="C15" s="1" t="s">
        <v>15</v>
      </c>
      <c r="D15" s="1" t="s">
        <v>144</v>
      </c>
      <c r="E15" s="1" t="s">
        <v>20</v>
      </c>
      <c r="F15" s="1" t="str">
        <f>T_FY27[[#This Row],[Eng.]]&amp;T_FY27[[#This Row],[大カテゴリ]]&amp;T_FY27[[#This Row],[中カテゴリ]]&amp;T_FY27[[#This Row],[タスク名]]</f>
        <v>FFGITGCTOC融資支援(MO束ね)</v>
      </c>
      <c r="G15" s="9">
        <v>8</v>
      </c>
      <c r="H15" s="9"/>
      <c r="I15" s="8">
        <f>SUM(T_FY27[[#This Row],[恒久工数]:[一時工数]])</f>
        <v>8</v>
      </c>
      <c r="J15" s="8">
        <f>_xlfn.XLOOKUP(T_FY27[[#This Row],[(作業用)タスク結合名]],FY26工数!$F:$F,FY26工数!$I:$I,0)</f>
        <v>8</v>
      </c>
      <c r="K1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" s="2" t="str">
        <f>IF(T_FY27[[#This Row],[FY27工数]]=T_FY27[[#This Row],[FY26工数]], "", T_FY27[[#This Row],[FY27工数]]-T_FY27[[#This Row],[FY26工数]])</f>
        <v/>
      </c>
      <c r="M15" s="11">
        <v>2</v>
      </c>
    </row>
    <row r="16" spans="1:18">
      <c r="A16" s="1" t="s">
        <v>11</v>
      </c>
      <c r="B16" s="1" t="s">
        <v>12</v>
      </c>
      <c r="C16" s="1" t="s">
        <v>16</v>
      </c>
      <c r="D16" s="1" t="s">
        <v>144</v>
      </c>
      <c r="E16" s="1" t="s">
        <v>20</v>
      </c>
      <c r="F16" s="1" t="str">
        <f>T_FY27[[#This Row],[Eng.]]&amp;T_FY27[[#This Row],[大カテゴリ]]&amp;T_FY27[[#This Row],[中カテゴリ]]&amp;T_FY27[[#This Row],[タスク名]]</f>
        <v>FFGITGCRF融資支援(MO束ね)</v>
      </c>
      <c r="G16" s="9">
        <v>4</v>
      </c>
      <c r="H16" s="9"/>
      <c r="I16" s="8">
        <f>SUM(T_FY27[[#This Row],[恒久工数]:[一時工数]])</f>
        <v>4</v>
      </c>
      <c r="J16" s="8">
        <f>_xlfn.XLOOKUP(T_FY27[[#This Row],[(作業用)タスク結合名]],FY26工数!$F:$F,FY26工数!$I:$I,0)</f>
        <v>4</v>
      </c>
      <c r="K1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" s="2" t="str">
        <f>IF(T_FY27[[#This Row],[FY27工数]]=T_FY27[[#This Row],[FY26工数]], "", T_FY27[[#This Row],[FY27工数]]-T_FY27[[#This Row],[FY26工数]])</f>
        <v/>
      </c>
      <c r="M16" s="11">
        <v>4</v>
      </c>
    </row>
    <row r="17" spans="1:17">
      <c r="A17" s="1" t="s">
        <v>11</v>
      </c>
      <c r="B17" s="1" t="s">
        <v>12</v>
      </c>
      <c r="C17" s="1" t="s">
        <v>13</v>
      </c>
      <c r="D17" s="1" t="s">
        <v>169</v>
      </c>
      <c r="E17" s="12" t="s">
        <v>145</v>
      </c>
      <c r="F17" s="1" t="str">
        <f>T_FY27[[#This Row],[Eng.]]&amp;T_FY27[[#This Row],[大カテゴリ]]&amp;T_FY27[[#This Row],[中カテゴリ]]&amp;T_FY27[[#This Row],[タスク名]]</f>
        <v>FFGITGCWTデ直束ね(融資支援・個人ローン・国際勘定)</v>
      </c>
      <c r="G17" s="9">
        <v>17</v>
      </c>
      <c r="H17" s="9"/>
      <c r="I17" s="8">
        <f>SUM(T_FY27[[#This Row],[恒久工数]:[一時工数]])</f>
        <v>17</v>
      </c>
      <c r="J17" s="8">
        <f>_xlfn.XLOOKUP(T_FY27[[#This Row],[(作業用)タスク結合名]],FY26工数!$F:$F,FY26工数!$I:$I,0)</f>
        <v>17</v>
      </c>
      <c r="K1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" s="2" t="str">
        <f>IF(T_FY27[[#This Row],[FY27工数]]=T_FY27[[#This Row],[FY26工数]], "", T_FY27[[#This Row],[FY27工数]]-T_FY27[[#This Row],[FY26工数]])</f>
        <v/>
      </c>
      <c r="M17" s="11">
        <v>9</v>
      </c>
    </row>
    <row r="18" spans="1:17">
      <c r="A18" s="1" t="s">
        <v>11</v>
      </c>
      <c r="B18" s="1" t="s">
        <v>12</v>
      </c>
      <c r="C18" s="1" t="s">
        <v>15</v>
      </c>
      <c r="D18" s="1" t="s">
        <v>169</v>
      </c>
      <c r="E18" s="12" t="s">
        <v>145</v>
      </c>
      <c r="F18" s="1" t="str">
        <f>T_FY27[[#This Row],[Eng.]]&amp;T_FY27[[#This Row],[大カテゴリ]]&amp;T_FY27[[#This Row],[中カテゴリ]]&amp;T_FY27[[#This Row],[タスク名]]</f>
        <v>FFGITGCTOCデ直束ね(融資支援・個人ローン・国際勘定)</v>
      </c>
      <c r="G18" s="9">
        <v>18</v>
      </c>
      <c r="H18" s="9"/>
      <c r="I18" s="8">
        <f>SUM(T_FY27[[#This Row],[恒久工数]:[一時工数]])</f>
        <v>18</v>
      </c>
      <c r="J18" s="8">
        <f>_xlfn.XLOOKUP(T_FY27[[#This Row],[(作業用)タスク結合名]],FY26工数!$F:$F,FY26工数!$I:$I,0)</f>
        <v>18</v>
      </c>
      <c r="K1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8" s="2" t="str">
        <f>IF(T_FY27[[#This Row],[FY27工数]]=T_FY27[[#This Row],[FY26工数]], "", T_FY27[[#This Row],[FY27工数]]-T_FY27[[#This Row],[FY26工数]])</f>
        <v/>
      </c>
      <c r="M18" s="11">
        <v>2</v>
      </c>
    </row>
    <row r="19" spans="1:17">
      <c r="A19" s="1" t="s">
        <v>11</v>
      </c>
      <c r="B19" s="1" t="s">
        <v>12</v>
      </c>
      <c r="C19" s="1" t="s">
        <v>16</v>
      </c>
      <c r="D19" s="1" t="s">
        <v>169</v>
      </c>
      <c r="E19" s="13" t="s">
        <v>146</v>
      </c>
      <c r="F19" s="1" t="str">
        <f>T_FY27[[#This Row],[Eng.]]&amp;T_FY27[[#This Row],[大カテゴリ]]&amp;T_FY27[[#This Row],[中カテゴリ]]&amp;T_FY27[[#This Row],[タスク名]]</f>
        <v>FFGITGCRFデ直束ね(融資支援・個人ローン・国際勘定)</v>
      </c>
      <c r="G19" s="9">
        <v>4</v>
      </c>
      <c r="H19" s="9"/>
      <c r="I19" s="8">
        <f>SUM(T_FY27[[#This Row],[恒久工数]:[一時工数]])</f>
        <v>4</v>
      </c>
      <c r="J19" s="8">
        <f>_xlfn.XLOOKUP(T_FY27[[#This Row],[(作業用)タスク結合名]],FY26工数!$F:$F,FY26工数!$I:$I,0)</f>
        <v>4</v>
      </c>
      <c r="K1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9" s="2" t="str">
        <f>IF(T_FY27[[#This Row],[FY27工数]]=T_FY27[[#This Row],[FY26工数]], "", T_FY27[[#This Row],[FY27工数]]-T_FY27[[#This Row],[FY26工数]])</f>
        <v/>
      </c>
      <c r="M19" s="11">
        <v>4</v>
      </c>
    </row>
    <row r="20" spans="1:17">
      <c r="A20" s="1" t="s">
        <v>11</v>
      </c>
      <c r="B20" s="1" t="s">
        <v>12</v>
      </c>
      <c r="C20" s="1" t="s">
        <v>13</v>
      </c>
      <c r="D20" s="1"/>
      <c r="E20" s="12" t="s">
        <v>170</v>
      </c>
      <c r="F20" s="1" t="str">
        <f>T_FY27[[#This Row],[Eng.]]&amp;T_FY27[[#This Row],[大カテゴリ]]&amp;T_FY27[[#This Row],[中カテゴリ]]&amp;T_FY27[[#This Row],[タスク名]]</f>
        <v>FFGITGCWT本部決算(MAアプリ・MAインフラ)</v>
      </c>
      <c r="G20" s="9">
        <v>11</v>
      </c>
      <c r="H20" s="9"/>
      <c r="I20" s="8">
        <f>SUM(T_FY27[[#This Row],[恒久工数]:[一時工数]])</f>
        <v>11</v>
      </c>
      <c r="J20" s="8">
        <f>_xlfn.XLOOKUP(T_FY27[[#This Row],[(作業用)タスク結合名]],FY26工数!$F:$F,FY26工数!$I:$I,0)</f>
        <v>11</v>
      </c>
      <c r="K2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0" s="2" t="str">
        <f>IF(T_FY27[[#This Row],[FY27工数]]=T_FY27[[#This Row],[FY26工数]], "", T_FY27[[#This Row],[FY27工数]]-T_FY27[[#This Row],[FY26工数]])</f>
        <v/>
      </c>
      <c r="M20" s="11">
        <v>9</v>
      </c>
    </row>
    <row r="21" spans="1:17">
      <c r="A21" s="1" t="s">
        <v>11</v>
      </c>
      <c r="B21" s="1" t="s">
        <v>12</v>
      </c>
      <c r="C21" s="1" t="s">
        <v>15</v>
      </c>
      <c r="D21" s="1"/>
      <c r="E21" s="12" t="s">
        <v>170</v>
      </c>
      <c r="F21" s="1" t="str">
        <f>T_FY27[[#This Row],[Eng.]]&amp;T_FY27[[#This Row],[大カテゴリ]]&amp;T_FY27[[#This Row],[中カテゴリ]]&amp;T_FY27[[#This Row],[タスク名]]</f>
        <v>FFGITGCTOC本部決算(MAアプリ・MAインフラ)</v>
      </c>
      <c r="G21" s="9">
        <v>11</v>
      </c>
      <c r="H21" s="9"/>
      <c r="I21" s="8">
        <f>SUM(T_FY27[[#This Row],[恒久工数]:[一時工数]])</f>
        <v>11</v>
      </c>
      <c r="J21" s="8">
        <f>_xlfn.XLOOKUP(T_FY27[[#This Row],[(作業用)タスク結合名]],FY26工数!$F:$F,FY26工数!$I:$I,0)</f>
        <v>11</v>
      </c>
      <c r="K2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1" s="2" t="str">
        <f>IF(T_FY27[[#This Row],[FY27工数]]=T_FY27[[#This Row],[FY26工数]], "", T_FY27[[#This Row],[FY27工数]]-T_FY27[[#This Row],[FY26工数]])</f>
        <v/>
      </c>
      <c r="M21" s="11">
        <v>2</v>
      </c>
    </row>
    <row r="22" spans="1:17">
      <c r="A22" s="1" t="s">
        <v>11</v>
      </c>
      <c r="B22" s="1" t="s">
        <v>12</v>
      </c>
      <c r="C22" s="1" t="s">
        <v>16</v>
      </c>
      <c r="D22" s="1"/>
      <c r="E22" s="12" t="s">
        <v>170</v>
      </c>
      <c r="F22" s="1" t="str">
        <f>T_FY27[[#This Row],[Eng.]]&amp;T_FY27[[#This Row],[大カテゴリ]]&amp;T_FY27[[#This Row],[中カテゴリ]]&amp;T_FY27[[#This Row],[タスク名]]</f>
        <v>FFGITGCRF本部決算(MAアプリ・MAインフラ)</v>
      </c>
      <c r="G22" s="9">
        <v>4</v>
      </c>
      <c r="H22" s="9"/>
      <c r="I22" s="8">
        <f>SUM(T_FY27[[#This Row],[恒久工数]:[一時工数]])</f>
        <v>4</v>
      </c>
      <c r="J22" s="8">
        <f>_xlfn.XLOOKUP(T_FY27[[#This Row],[(作業用)タスク結合名]],FY26工数!$F:$F,FY26工数!$I:$I,0)</f>
        <v>4</v>
      </c>
      <c r="K2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2" s="2" t="str">
        <f>IF(T_FY27[[#This Row],[FY27工数]]=T_FY27[[#This Row],[FY26工数]], "", T_FY27[[#This Row],[FY27工数]]-T_FY27[[#This Row],[FY26工数]])</f>
        <v/>
      </c>
      <c r="M22" s="11">
        <v>4</v>
      </c>
    </row>
    <row r="23" spans="1:17">
      <c r="A23" s="1" t="s">
        <v>11</v>
      </c>
      <c r="B23" s="1" t="s">
        <v>12</v>
      </c>
      <c r="C23" s="1" t="s">
        <v>13</v>
      </c>
      <c r="D23" s="1"/>
      <c r="E23" s="1" t="s">
        <v>21</v>
      </c>
      <c r="F23" s="1" t="str">
        <f>T_FY27[[#This Row],[Eng.]]&amp;T_FY27[[#This Row],[大カテゴリ]]&amp;T_FY27[[#This Row],[中カテゴリ]]&amp;T_FY27[[#This Row],[タスク名]]</f>
        <v>FFGITGCWT(FFG) 勘定奉行＊</v>
      </c>
      <c r="G23" s="9">
        <v>6</v>
      </c>
      <c r="H23" s="9"/>
      <c r="I23" s="8">
        <f>SUM(T_FY27[[#This Row],[恒久工数]:[一時工数]])</f>
        <v>6</v>
      </c>
      <c r="J23" s="8">
        <f>_xlfn.XLOOKUP(T_FY27[[#This Row],[(作業用)タスク結合名]],FY26工数!$F:$F,FY26工数!$I:$I,0)</f>
        <v>6</v>
      </c>
      <c r="K2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3" s="2" t="str">
        <f>IF(T_FY27[[#This Row],[FY27工数]]=T_FY27[[#This Row],[FY26工数]], "", T_FY27[[#This Row],[FY27工数]]-T_FY27[[#This Row],[FY26工数]])</f>
        <v/>
      </c>
      <c r="M23" s="11">
        <v>9</v>
      </c>
    </row>
    <row r="24" spans="1:17">
      <c r="A24" s="1" t="s">
        <v>11</v>
      </c>
      <c r="B24" s="1" t="s">
        <v>12</v>
      </c>
      <c r="C24" s="1" t="s">
        <v>15</v>
      </c>
      <c r="D24" s="1"/>
      <c r="E24" s="1" t="s">
        <v>21</v>
      </c>
      <c r="F24" s="1" t="str">
        <f>T_FY27[[#This Row],[Eng.]]&amp;T_FY27[[#This Row],[大カテゴリ]]&amp;T_FY27[[#This Row],[中カテゴリ]]&amp;T_FY27[[#This Row],[タスク名]]</f>
        <v>FFGITGCTOC(FFG) 勘定奉行＊</v>
      </c>
      <c r="G24" s="9">
        <v>6</v>
      </c>
      <c r="H24" s="9"/>
      <c r="I24" s="8">
        <f>SUM(T_FY27[[#This Row],[恒久工数]:[一時工数]])</f>
        <v>6</v>
      </c>
      <c r="J24" s="8">
        <f>_xlfn.XLOOKUP(T_FY27[[#This Row],[(作業用)タスク結合名]],FY26工数!$F:$F,FY26工数!$I:$I,0)</f>
        <v>6</v>
      </c>
      <c r="K2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4" s="2" t="str">
        <f>IF(T_FY27[[#This Row],[FY27工数]]=T_FY27[[#This Row],[FY26工数]], "", T_FY27[[#This Row],[FY27工数]]-T_FY27[[#This Row],[FY26工数]])</f>
        <v/>
      </c>
      <c r="M24" s="11">
        <v>2</v>
      </c>
    </row>
    <row r="25" spans="1:17">
      <c r="A25" s="1" t="s">
        <v>11</v>
      </c>
      <c r="B25" s="1" t="s">
        <v>12</v>
      </c>
      <c r="C25" s="1" t="s">
        <v>16</v>
      </c>
      <c r="D25" s="1"/>
      <c r="E25" s="1" t="s">
        <v>21</v>
      </c>
      <c r="F25" s="1" t="str">
        <f>T_FY27[[#This Row],[Eng.]]&amp;T_FY27[[#This Row],[大カテゴリ]]&amp;T_FY27[[#This Row],[中カテゴリ]]&amp;T_FY27[[#This Row],[タスク名]]</f>
        <v>FFGITGCRF(FFG) 勘定奉行＊</v>
      </c>
      <c r="G25" s="9">
        <v>4</v>
      </c>
      <c r="H25" s="9"/>
      <c r="I25" s="8">
        <f>SUM(T_FY27[[#This Row],[恒久工数]:[一時工数]])</f>
        <v>4</v>
      </c>
      <c r="J25" s="8">
        <f>_xlfn.XLOOKUP(T_FY27[[#This Row],[(作業用)タスク結合名]],FY26工数!$F:$F,FY26工数!$I:$I,0)</f>
        <v>4</v>
      </c>
      <c r="K2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5" s="2" t="str">
        <f>IF(T_FY27[[#This Row],[FY27工数]]=T_FY27[[#This Row],[FY26工数]], "", T_FY27[[#This Row],[FY27工数]]-T_FY27[[#This Row],[FY26工数]])</f>
        <v/>
      </c>
      <c r="M25" s="11">
        <v>4</v>
      </c>
    </row>
    <row r="26" spans="1:17">
      <c r="A26" s="1" t="s">
        <v>11</v>
      </c>
      <c r="B26" s="1" t="s">
        <v>12</v>
      </c>
      <c r="C26" s="1" t="s">
        <v>13</v>
      </c>
      <c r="D26" s="1"/>
      <c r="E26" s="1" t="s">
        <v>22</v>
      </c>
      <c r="F26" s="1" t="str">
        <f>T_FY27[[#This Row],[Eng.]]&amp;T_FY27[[#This Row],[大カテゴリ]]&amp;T_FY27[[#This Row],[中カテゴリ]]&amp;T_FY27[[#This Row],[タスク名]]</f>
        <v>FFGITGCWT(FFG) 連結納税＊</v>
      </c>
      <c r="G26" s="9">
        <v>6</v>
      </c>
      <c r="H26" s="9"/>
      <c r="I26" s="8">
        <f>SUM(T_FY27[[#This Row],[恒久工数]:[一時工数]])</f>
        <v>6</v>
      </c>
      <c r="J26" s="8">
        <f>_xlfn.XLOOKUP(T_FY27[[#This Row],[(作業用)タスク結合名]],FY26工数!$F:$F,FY26工数!$I:$I,0)</f>
        <v>6</v>
      </c>
      <c r="K2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6" s="2" t="str">
        <f>IF(T_FY27[[#This Row],[FY27工数]]=T_FY27[[#This Row],[FY26工数]], "", T_FY27[[#This Row],[FY27工数]]-T_FY27[[#This Row],[FY26工数]])</f>
        <v/>
      </c>
      <c r="M26" s="11">
        <v>9</v>
      </c>
    </row>
    <row r="27" spans="1:17">
      <c r="A27" s="1" t="s">
        <v>11</v>
      </c>
      <c r="B27" s="1" t="s">
        <v>12</v>
      </c>
      <c r="C27" s="1" t="s">
        <v>15</v>
      </c>
      <c r="D27" s="1"/>
      <c r="E27" s="1" t="s">
        <v>22</v>
      </c>
      <c r="F27" s="1" t="str">
        <f>T_FY27[[#This Row],[Eng.]]&amp;T_FY27[[#This Row],[大カテゴリ]]&amp;T_FY27[[#This Row],[中カテゴリ]]&amp;T_FY27[[#This Row],[タスク名]]</f>
        <v>FFGITGCTOC(FFG) 連結納税＊</v>
      </c>
      <c r="G27" s="9">
        <v>6</v>
      </c>
      <c r="H27" s="9"/>
      <c r="I27" s="8">
        <f>SUM(T_FY27[[#This Row],[恒久工数]:[一時工数]])</f>
        <v>6</v>
      </c>
      <c r="J27" s="8">
        <f>_xlfn.XLOOKUP(T_FY27[[#This Row],[(作業用)タスク結合名]],FY26工数!$F:$F,FY26工数!$I:$I,0)</f>
        <v>6</v>
      </c>
      <c r="K2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7" s="2" t="str">
        <f>IF(T_FY27[[#This Row],[FY27工数]]=T_FY27[[#This Row],[FY26工数]], "", T_FY27[[#This Row],[FY27工数]]-T_FY27[[#This Row],[FY26工数]])</f>
        <v/>
      </c>
      <c r="M27" s="11">
        <v>2</v>
      </c>
    </row>
    <row r="28" spans="1:17">
      <c r="A28" s="1" t="s">
        <v>11</v>
      </c>
      <c r="B28" s="1" t="s">
        <v>12</v>
      </c>
      <c r="C28" s="1" t="s">
        <v>16</v>
      </c>
      <c r="D28" s="1"/>
      <c r="E28" s="1" t="s">
        <v>22</v>
      </c>
      <c r="F28" s="1" t="str">
        <f>T_FY27[[#This Row],[Eng.]]&amp;T_FY27[[#This Row],[大カテゴリ]]&amp;T_FY27[[#This Row],[中カテゴリ]]&amp;T_FY27[[#This Row],[タスク名]]</f>
        <v>FFGITGCRF(FFG) 連結納税＊</v>
      </c>
      <c r="G28" s="9">
        <v>5</v>
      </c>
      <c r="H28" s="9"/>
      <c r="I28" s="8">
        <f>SUM(T_FY27[[#This Row],[恒久工数]:[一時工数]])</f>
        <v>5</v>
      </c>
      <c r="J28" s="8">
        <f>_xlfn.XLOOKUP(T_FY27[[#This Row],[(作業用)タスク結合名]],FY26工数!$F:$F,FY26工数!$I:$I,0)</f>
        <v>5</v>
      </c>
      <c r="K2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8" s="2" t="str">
        <f>IF(T_FY27[[#This Row],[FY27工数]]=T_FY27[[#This Row],[FY26工数]], "", T_FY27[[#This Row],[FY27工数]]-T_FY27[[#This Row],[FY26工数]])</f>
        <v/>
      </c>
      <c r="M28" s="11">
        <v>4</v>
      </c>
    </row>
    <row r="29" spans="1:17">
      <c r="A29" s="1" t="s">
        <v>11</v>
      </c>
      <c r="B29" s="1" t="s">
        <v>12</v>
      </c>
      <c r="C29" s="1" t="s">
        <v>13</v>
      </c>
      <c r="D29" s="1" t="s">
        <v>171</v>
      </c>
      <c r="E29" s="1" t="s">
        <v>23</v>
      </c>
      <c r="F29" s="1" t="str">
        <f>T_FY27[[#This Row],[Eng.]]&amp;T_FY27[[#This Row],[大カテゴリ]]&amp;T_FY27[[#This Row],[中カテゴリ]]&amp;T_FY27[[#This Row],[タスク名]]</f>
        <v>FFGITGCWTMC束ね(本部決裁・個人ローン・投資経費)</v>
      </c>
      <c r="G29" s="9">
        <v>19</v>
      </c>
      <c r="H29" s="9"/>
      <c r="I29" s="8">
        <f>SUM(T_FY27[[#This Row],[恒久工数]:[一時工数]])</f>
        <v>19</v>
      </c>
      <c r="J29" s="8">
        <f>_xlfn.XLOOKUP(T_FY27[[#This Row],[(作業用)タスク結合名]],FY26工数!$F:$F,FY26工数!$I:$I,0)</f>
        <v>19</v>
      </c>
      <c r="K2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29" s="2" t="str">
        <f>IF(T_FY27[[#This Row],[FY27工数]]=T_FY27[[#This Row],[FY26工数]], "", T_FY27[[#This Row],[FY27工数]]-T_FY27[[#This Row],[FY26工数]])</f>
        <v/>
      </c>
      <c r="M29" s="11">
        <v>9</v>
      </c>
    </row>
    <row r="30" spans="1:17">
      <c r="A30" s="1" t="s">
        <v>11</v>
      </c>
      <c r="B30" s="1" t="s">
        <v>12</v>
      </c>
      <c r="C30" s="1" t="s">
        <v>15</v>
      </c>
      <c r="D30" s="1" t="s">
        <v>171</v>
      </c>
      <c r="E30" s="1" t="s">
        <v>23</v>
      </c>
      <c r="F30" s="1" t="str">
        <f>T_FY27[[#This Row],[Eng.]]&amp;T_FY27[[#This Row],[大カテゴリ]]&amp;T_FY27[[#This Row],[中カテゴリ]]&amp;T_FY27[[#This Row],[タスク名]]</f>
        <v>FFGITGCTOCMC束ね(本部決裁・個人ローン・投資経費)</v>
      </c>
      <c r="G30" s="9">
        <v>21</v>
      </c>
      <c r="H30" s="9"/>
      <c r="I30" s="8">
        <f>SUM(T_FY27[[#This Row],[恒久工数]:[一時工数]])</f>
        <v>21</v>
      </c>
      <c r="J30" s="8">
        <f>_xlfn.XLOOKUP(T_FY27[[#This Row],[(作業用)タスク結合名]],FY26工数!$F:$F,FY26工数!$I:$I,0)</f>
        <v>21</v>
      </c>
      <c r="K3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30" s="2" t="str">
        <f>IF(T_FY27[[#This Row],[FY27工数]]=T_FY27[[#This Row],[FY26工数]], "", T_FY27[[#This Row],[FY27工数]]-T_FY27[[#This Row],[FY26工数]])</f>
        <v/>
      </c>
      <c r="M30" s="11">
        <v>2</v>
      </c>
    </row>
    <row r="31" spans="1:17">
      <c r="A31" s="1" t="s">
        <v>11</v>
      </c>
      <c r="B31" s="1" t="s">
        <v>12</v>
      </c>
      <c r="C31" s="1" t="s">
        <v>16</v>
      </c>
      <c r="D31" s="1" t="s">
        <v>171</v>
      </c>
      <c r="E31" s="1" t="s">
        <v>23</v>
      </c>
      <c r="F31" s="1" t="str">
        <f>T_FY27[[#This Row],[Eng.]]&amp;T_FY27[[#This Row],[大カテゴリ]]&amp;T_FY27[[#This Row],[中カテゴリ]]&amp;T_FY27[[#This Row],[タスク名]]</f>
        <v>FFGITGCRFMC束ね(本部決裁・個人ローン・投資経費)</v>
      </c>
      <c r="G31" s="9">
        <v>6</v>
      </c>
      <c r="H31" s="9"/>
      <c r="I31" s="8">
        <f>SUM(T_FY27[[#This Row],[恒久工数]:[一時工数]])</f>
        <v>6</v>
      </c>
      <c r="J31" s="8">
        <f>_xlfn.XLOOKUP(T_FY27[[#This Row],[(作業用)タスク結合名]],FY26工数!$F:$F,FY26工数!$I:$I,0)</f>
        <v>6</v>
      </c>
      <c r="K3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31" s="2" t="str">
        <f>IF(T_FY27[[#This Row],[FY27工数]]=T_FY27[[#This Row],[FY26工数]], "", T_FY27[[#This Row],[FY27工数]]-T_FY27[[#This Row],[FY26工数]])</f>
        <v/>
      </c>
      <c r="M31" s="11">
        <v>4</v>
      </c>
    </row>
    <row r="32" spans="1:17">
      <c r="A32" s="1" t="s">
        <v>11</v>
      </c>
      <c r="B32" s="1" t="s">
        <v>12</v>
      </c>
      <c r="C32" s="1" t="s">
        <v>13</v>
      </c>
      <c r="D32" s="1" t="s">
        <v>172</v>
      </c>
      <c r="E32" s="1" t="s">
        <v>24</v>
      </c>
      <c r="F32" s="1" t="str">
        <f>T_FY27[[#This Row],[Eng.]]&amp;T_FY27[[#This Row],[大カテゴリ]]&amp;T_FY27[[#This Row],[中カテゴリ]]&amp;T_FY27[[#This Row],[タスク名]]</f>
        <v>FFGITGCWTMC束ね(不動産・人事・Siatol・国際・収益・財務・時価・固定資産)</v>
      </c>
      <c r="G32" s="9">
        <v>18</v>
      </c>
      <c r="H32" s="9">
        <v>1</v>
      </c>
      <c r="I32" s="8">
        <f>SUM(T_FY27[[#This Row],[恒久工数]:[一時工数]])</f>
        <v>19</v>
      </c>
      <c r="J32" s="8">
        <f>_xlfn.XLOOKUP(T_FY27[[#This Row],[(作業用)タスク結合名]],FY26工数!$F:$F,FY26工数!$I:$I,0)</f>
        <v>19</v>
      </c>
      <c r="K3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内訳変更</v>
      </c>
      <c r="L32" s="2" t="str">
        <f>IF(T_FY27[[#This Row],[FY27工数]]=T_FY27[[#This Row],[FY26工数]], "", T_FY27[[#This Row],[FY27工数]]-T_FY27[[#This Row],[FY26工数]])</f>
        <v/>
      </c>
      <c r="M32" s="11">
        <v>9</v>
      </c>
      <c r="Q32" t="s">
        <v>197</v>
      </c>
    </row>
    <row r="33" spans="1:17">
      <c r="A33" s="1" t="s">
        <v>11</v>
      </c>
      <c r="B33" s="1" t="s">
        <v>12</v>
      </c>
      <c r="C33" s="1" t="s">
        <v>15</v>
      </c>
      <c r="D33" s="1" t="s">
        <v>172</v>
      </c>
      <c r="E33" s="1" t="s">
        <v>24</v>
      </c>
      <c r="F33" s="1" t="str">
        <f>T_FY27[[#This Row],[Eng.]]&amp;T_FY27[[#This Row],[大カテゴリ]]&amp;T_FY27[[#This Row],[中カテゴリ]]&amp;T_FY27[[#This Row],[タスク名]]</f>
        <v>FFGITGCTOCMC束ね(不動産・人事・Siatol・国際・収益・財務・時価・固定資産)</v>
      </c>
      <c r="G33" s="9">
        <v>20</v>
      </c>
      <c r="H33" s="9">
        <v>1</v>
      </c>
      <c r="I33" s="8">
        <f>SUM(T_FY27[[#This Row],[恒久工数]:[一時工数]])</f>
        <v>21</v>
      </c>
      <c r="J33" s="8">
        <f>_xlfn.XLOOKUP(T_FY27[[#This Row],[(作業用)タスク結合名]],FY26工数!$F:$F,FY26工数!$I:$I,0)</f>
        <v>21</v>
      </c>
      <c r="K3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内訳変更</v>
      </c>
      <c r="L33" s="2" t="str">
        <f>IF(T_FY27[[#This Row],[FY27工数]]=T_FY27[[#This Row],[FY26工数]], "", T_FY27[[#This Row],[FY27工数]]-T_FY27[[#This Row],[FY26工数]])</f>
        <v/>
      </c>
      <c r="M33" s="11">
        <v>2</v>
      </c>
      <c r="Q33" t="s">
        <v>197</v>
      </c>
    </row>
    <row r="34" spans="1:17">
      <c r="A34" s="1" t="s">
        <v>11</v>
      </c>
      <c r="B34" s="1" t="s">
        <v>12</v>
      </c>
      <c r="C34" s="1" t="s">
        <v>16</v>
      </c>
      <c r="D34" s="1" t="s">
        <v>172</v>
      </c>
      <c r="E34" s="1" t="s">
        <v>24</v>
      </c>
      <c r="F34" s="1" t="str">
        <f>T_FY27[[#This Row],[Eng.]]&amp;T_FY27[[#This Row],[大カテゴリ]]&amp;T_FY27[[#This Row],[中カテゴリ]]&amp;T_FY27[[#This Row],[タスク名]]</f>
        <v>FFGITGCRFMC束ね(不動産・人事・Siatol・国際・収益・財務・時価・固定資産)</v>
      </c>
      <c r="G34" s="9">
        <v>7</v>
      </c>
      <c r="H34" s="9"/>
      <c r="I34" s="8">
        <f>SUM(T_FY27[[#This Row],[恒久工数]:[一時工数]])</f>
        <v>7</v>
      </c>
      <c r="J34" s="8">
        <f>_xlfn.XLOOKUP(T_FY27[[#This Row],[(作業用)タスク結合名]],FY26工数!$F:$F,FY26工数!$I:$I,0)</f>
        <v>7</v>
      </c>
      <c r="K3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34" s="2" t="str">
        <f>IF(T_FY27[[#This Row],[FY27工数]]=T_FY27[[#This Row],[FY26工数]], "", T_FY27[[#This Row],[FY27工数]]-T_FY27[[#This Row],[FY26工数]])</f>
        <v/>
      </c>
      <c r="M34" s="11">
        <v>4</v>
      </c>
    </row>
    <row r="35" spans="1:17">
      <c r="A35" s="1" t="s">
        <v>11</v>
      </c>
      <c r="B35" s="1" t="s">
        <v>12</v>
      </c>
      <c r="C35" s="1" t="s">
        <v>13</v>
      </c>
      <c r="D35" s="1"/>
      <c r="E35" s="1" t="s">
        <v>219</v>
      </c>
      <c r="F35" s="1" t="str">
        <f>T_FY27[[#This Row],[Eng.]]&amp;T_FY27[[#This Row],[大カテゴリ]]&amp;T_FY27[[#This Row],[中カテゴリ]]&amp;T_FY27[[#This Row],[タスク名]]</f>
        <v>FFGITGCWTSiatol MC</v>
      </c>
      <c r="G35" s="9">
        <v>7</v>
      </c>
      <c r="H35" s="9">
        <v>3</v>
      </c>
      <c r="I35" s="8">
        <f>SUM(T_FY27[[#This Row],[恒久工数]:[一時工数]])</f>
        <v>10</v>
      </c>
      <c r="J35" s="8">
        <f>_xlfn.XLOOKUP(T_FY27[[#This Row],[(作業用)タスク結合名]],FY26工数!$F:$F,FY26工数!$I:$I,0)</f>
        <v>0</v>
      </c>
      <c r="K3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35" s="2">
        <f>IF(T_FY27[[#This Row],[FY27工数]]=T_FY27[[#This Row],[FY26工数]], "", T_FY27[[#This Row],[FY27工数]]-T_FY27[[#This Row],[FY26工数]])</f>
        <v>10</v>
      </c>
      <c r="M35" s="11">
        <v>9</v>
      </c>
      <c r="Q35" t="s">
        <v>129</v>
      </c>
    </row>
    <row r="36" spans="1:17">
      <c r="A36" s="1" t="s">
        <v>11</v>
      </c>
      <c r="B36" s="1" t="s">
        <v>12</v>
      </c>
      <c r="C36" s="1" t="s">
        <v>13</v>
      </c>
      <c r="D36" s="1"/>
      <c r="E36" s="1" t="s">
        <v>220</v>
      </c>
      <c r="F36" s="1" t="str">
        <f>T_FY27[[#This Row],[Eng.]]&amp;T_FY27[[#This Row],[大カテゴリ]]&amp;T_FY27[[#This Row],[中カテゴリ]]&amp;T_FY27[[#This Row],[タスク名]]</f>
        <v>FFGITGCWTSiatol MO</v>
      </c>
      <c r="G36" s="9">
        <v>6</v>
      </c>
      <c r="H36" s="9">
        <v>2</v>
      </c>
      <c r="I36" s="8">
        <f>SUM(T_FY27[[#This Row],[恒久工数]:[一時工数]])</f>
        <v>8</v>
      </c>
      <c r="J36" s="8">
        <f>_xlfn.XLOOKUP(T_FY27[[#This Row],[(作業用)タスク結合名]],FY26工数!$F:$F,FY26工数!$I:$I,0)</f>
        <v>0</v>
      </c>
      <c r="K3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36" s="2">
        <f>IF(T_FY27[[#This Row],[FY27工数]]=T_FY27[[#This Row],[FY26工数]], "", T_FY27[[#This Row],[FY27工数]]-T_FY27[[#This Row],[FY26工数]])</f>
        <v>8</v>
      </c>
      <c r="M36" s="11">
        <v>9</v>
      </c>
      <c r="Q36" t="s">
        <v>129</v>
      </c>
    </row>
    <row r="37" spans="1:17">
      <c r="A37" s="1" t="s">
        <v>11</v>
      </c>
      <c r="B37" s="1" t="s">
        <v>12</v>
      </c>
      <c r="C37" s="1" t="s">
        <v>13</v>
      </c>
      <c r="D37" s="1"/>
      <c r="E37" s="1" t="s">
        <v>25</v>
      </c>
      <c r="F37" s="1" t="str">
        <f>T_FY27[[#This Row],[Eng.]]&amp;T_FY27[[#This Row],[大カテゴリ]]&amp;T_FY27[[#This Row],[中カテゴリ]]&amp;T_FY27[[#This Row],[タスク名]]</f>
        <v>FFGITGCWTMA(不動産・人事・Siatol・財務・時価)</v>
      </c>
      <c r="G37" s="9">
        <v>18</v>
      </c>
      <c r="H37" s="9">
        <v>2</v>
      </c>
      <c r="I37" s="8">
        <f>SUM(T_FY27[[#This Row],[恒久工数]:[一時工数]])</f>
        <v>20</v>
      </c>
      <c r="J37" s="8">
        <f>_xlfn.XLOOKUP(T_FY27[[#This Row],[(作業用)タスク結合名]],FY26工数!$F:$F,FY26工数!$I:$I,0)</f>
        <v>19</v>
      </c>
      <c r="K3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37" s="2">
        <f>IF(T_FY27[[#This Row],[FY27工数]]=T_FY27[[#This Row],[FY26工数]], "", T_FY27[[#This Row],[FY27工数]]-T_FY27[[#This Row],[FY26工数]])</f>
        <v>1</v>
      </c>
      <c r="M37" s="11">
        <v>9</v>
      </c>
      <c r="Q37" t="s">
        <v>197</v>
      </c>
    </row>
    <row r="38" spans="1:17">
      <c r="A38" s="1" t="s">
        <v>11</v>
      </c>
      <c r="B38" s="1" t="s">
        <v>12</v>
      </c>
      <c r="C38" s="1" t="s">
        <v>15</v>
      </c>
      <c r="D38" s="1"/>
      <c r="E38" s="1" t="s">
        <v>25</v>
      </c>
      <c r="F38" s="1" t="str">
        <f>T_FY27[[#This Row],[Eng.]]&amp;T_FY27[[#This Row],[大カテゴリ]]&amp;T_FY27[[#This Row],[中カテゴリ]]&amp;T_FY27[[#This Row],[タスク名]]</f>
        <v>FFGITGCTOCMA(不動産・人事・Siatol・財務・時価)</v>
      </c>
      <c r="G38" s="9">
        <v>20</v>
      </c>
      <c r="H38" s="9">
        <v>3</v>
      </c>
      <c r="I38" s="8">
        <f>SUM(T_FY27[[#This Row],[恒久工数]:[一時工数]])</f>
        <v>23</v>
      </c>
      <c r="J38" s="8">
        <f>_xlfn.XLOOKUP(T_FY27[[#This Row],[(作業用)タスク結合名]],FY26工数!$F:$F,FY26工数!$I:$I,0)</f>
        <v>21</v>
      </c>
      <c r="K3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38" s="2">
        <f>IF(T_FY27[[#This Row],[FY27工数]]=T_FY27[[#This Row],[FY26工数]], "", T_FY27[[#This Row],[FY27工数]]-T_FY27[[#This Row],[FY26工数]])</f>
        <v>2</v>
      </c>
      <c r="M38" s="11">
        <v>2</v>
      </c>
      <c r="Q38" t="s">
        <v>197</v>
      </c>
    </row>
    <row r="39" spans="1:17">
      <c r="A39" s="1" t="s">
        <v>11</v>
      </c>
      <c r="B39" s="1" t="s">
        <v>12</v>
      </c>
      <c r="C39" s="1" t="s">
        <v>16</v>
      </c>
      <c r="D39" s="1"/>
      <c r="E39" s="1" t="s">
        <v>25</v>
      </c>
      <c r="F39" s="1" t="str">
        <f>T_FY27[[#This Row],[Eng.]]&amp;T_FY27[[#This Row],[大カテゴリ]]&amp;T_FY27[[#This Row],[中カテゴリ]]&amp;T_FY27[[#This Row],[タスク名]]</f>
        <v>FFGITGCRFMA(不動産・人事・Siatol・財務・時価)</v>
      </c>
      <c r="G39" s="9">
        <v>7</v>
      </c>
      <c r="H39" s="9"/>
      <c r="I39" s="8">
        <f>SUM(T_FY27[[#This Row],[恒久工数]:[一時工数]])</f>
        <v>7</v>
      </c>
      <c r="J39" s="8">
        <f>_xlfn.XLOOKUP(T_FY27[[#This Row],[(作業用)タスク結合名]],FY26工数!$F:$F,FY26工数!$I:$I,0)</f>
        <v>7</v>
      </c>
      <c r="K3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39" s="2" t="str">
        <f>IF(T_FY27[[#This Row],[FY27工数]]=T_FY27[[#This Row],[FY26工数]], "", T_FY27[[#This Row],[FY27工数]]-T_FY27[[#This Row],[FY26工数]])</f>
        <v/>
      </c>
      <c r="M39" s="11">
        <v>4</v>
      </c>
    </row>
    <row r="40" spans="1:17">
      <c r="A40" s="1" t="s">
        <v>11</v>
      </c>
      <c r="B40" s="1" t="s">
        <v>12</v>
      </c>
      <c r="C40" s="1" t="s">
        <v>13</v>
      </c>
      <c r="D40" s="1" t="s">
        <v>147</v>
      </c>
      <c r="E40" s="1" t="s">
        <v>26</v>
      </c>
      <c r="F40" s="1" t="str">
        <f>T_FY27[[#This Row],[Eng.]]&amp;T_FY27[[#This Row],[大カテゴリ]]&amp;T_FY27[[#This Row],[中カテゴリ]]&amp;T_FY27[[#This Row],[タスク名]]</f>
        <v>FFGITGCWT国際勘定(MA)</v>
      </c>
      <c r="G40" s="9">
        <v>7</v>
      </c>
      <c r="H40" s="9"/>
      <c r="I40" s="8">
        <f>SUM(T_FY27[[#This Row],[恒久工数]:[一時工数]])</f>
        <v>7</v>
      </c>
      <c r="J40" s="8">
        <f>_xlfn.XLOOKUP(T_FY27[[#This Row],[(作業用)タスク結合名]],FY26工数!$F:$F,FY26工数!$I:$I,0)</f>
        <v>7</v>
      </c>
      <c r="K4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40" s="2" t="str">
        <f>IF(T_FY27[[#This Row],[FY27工数]]=T_FY27[[#This Row],[FY26工数]], "", T_FY27[[#This Row],[FY27工数]]-T_FY27[[#This Row],[FY26工数]])</f>
        <v/>
      </c>
      <c r="M40" s="11">
        <v>9</v>
      </c>
    </row>
    <row r="41" spans="1:17">
      <c r="A41" s="1" t="s">
        <v>11</v>
      </c>
      <c r="B41" s="1" t="s">
        <v>12</v>
      </c>
      <c r="C41" s="1" t="s">
        <v>15</v>
      </c>
      <c r="D41" s="1" t="s">
        <v>147</v>
      </c>
      <c r="E41" s="1" t="s">
        <v>26</v>
      </c>
      <c r="F41" s="1" t="str">
        <f>T_FY27[[#This Row],[Eng.]]&amp;T_FY27[[#This Row],[大カテゴリ]]&amp;T_FY27[[#This Row],[中カテゴリ]]&amp;T_FY27[[#This Row],[タスク名]]</f>
        <v>FFGITGCTOC国際勘定(MA)</v>
      </c>
      <c r="G41" s="9">
        <v>8</v>
      </c>
      <c r="H41" s="9"/>
      <c r="I41" s="8">
        <f>SUM(T_FY27[[#This Row],[恒久工数]:[一時工数]])</f>
        <v>8</v>
      </c>
      <c r="J41" s="8">
        <f>_xlfn.XLOOKUP(T_FY27[[#This Row],[(作業用)タスク結合名]],FY26工数!$F:$F,FY26工数!$I:$I,0)</f>
        <v>8</v>
      </c>
      <c r="K4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41" s="2" t="str">
        <f>IF(T_FY27[[#This Row],[FY27工数]]=T_FY27[[#This Row],[FY26工数]], "", T_FY27[[#This Row],[FY27工数]]-T_FY27[[#This Row],[FY26工数]])</f>
        <v/>
      </c>
      <c r="M41" s="11">
        <v>2</v>
      </c>
    </row>
    <row r="42" spans="1:17">
      <c r="A42" s="1" t="s">
        <v>11</v>
      </c>
      <c r="B42" s="1" t="s">
        <v>12</v>
      </c>
      <c r="C42" s="1" t="s">
        <v>16</v>
      </c>
      <c r="D42" s="1" t="s">
        <v>147</v>
      </c>
      <c r="E42" s="1" t="s">
        <v>26</v>
      </c>
      <c r="F42" s="1" t="str">
        <f>T_FY27[[#This Row],[Eng.]]&amp;T_FY27[[#This Row],[大カテゴリ]]&amp;T_FY27[[#This Row],[中カテゴリ]]&amp;T_FY27[[#This Row],[タスク名]]</f>
        <v>FFGITGCRF国際勘定(MA)</v>
      </c>
      <c r="G42" s="9">
        <v>3</v>
      </c>
      <c r="H42" s="9"/>
      <c r="I42" s="8">
        <f>SUM(T_FY27[[#This Row],[恒久工数]:[一時工数]])</f>
        <v>3</v>
      </c>
      <c r="J42" s="8">
        <f>_xlfn.XLOOKUP(T_FY27[[#This Row],[(作業用)タスク結合名]],FY26工数!$F:$F,FY26工数!$I:$I,0)</f>
        <v>3</v>
      </c>
      <c r="K4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42" s="2" t="str">
        <f>IF(T_FY27[[#This Row],[FY27工数]]=T_FY27[[#This Row],[FY26工数]], "", T_FY27[[#This Row],[FY27工数]]-T_FY27[[#This Row],[FY26工数]])</f>
        <v/>
      </c>
      <c r="M42" s="11">
        <v>4</v>
      </c>
    </row>
    <row r="43" spans="1:17">
      <c r="A43" s="1" t="s">
        <v>11</v>
      </c>
      <c r="B43" s="1" t="s">
        <v>12</v>
      </c>
      <c r="C43" s="1" t="s">
        <v>13</v>
      </c>
      <c r="D43" s="1" t="s">
        <v>148</v>
      </c>
      <c r="E43" s="1" t="s">
        <v>27</v>
      </c>
      <c r="F43" s="1" t="str">
        <f>T_FY27[[#This Row],[Eng.]]&amp;T_FY27[[#This Row],[大カテゴリ]]&amp;T_FY27[[#This Row],[中カテゴリ]]&amp;T_FY27[[#This Row],[タスク名]]</f>
        <v>FFGITGCWTSiatol(MAアプリ、MAインフラ)</v>
      </c>
      <c r="G43" s="9">
        <v>10</v>
      </c>
      <c r="H43" s="9">
        <v>10</v>
      </c>
      <c r="I43" s="8">
        <f>SUM(T_FY27[[#This Row],[恒久工数]:[一時工数]])</f>
        <v>20</v>
      </c>
      <c r="J43" s="8">
        <f>_xlfn.XLOOKUP(T_FY27[[#This Row],[(作業用)タスク結合名]],FY26工数!$F:$F,FY26工数!$I:$I,0)</f>
        <v>10</v>
      </c>
      <c r="K4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43" s="2">
        <f>IF(T_FY27[[#This Row],[FY27工数]]=T_FY27[[#This Row],[FY26工数]], "", T_FY27[[#This Row],[FY27工数]]-T_FY27[[#This Row],[FY26工数]])</f>
        <v>10</v>
      </c>
      <c r="M43" s="11">
        <v>9</v>
      </c>
      <c r="Q43" t="s">
        <v>129</v>
      </c>
    </row>
    <row r="44" spans="1:17">
      <c r="A44" s="1" t="s">
        <v>11</v>
      </c>
      <c r="B44" s="1" t="s">
        <v>12</v>
      </c>
      <c r="C44" s="1" t="s">
        <v>15</v>
      </c>
      <c r="D44" s="1" t="s">
        <v>148</v>
      </c>
      <c r="E44" s="1" t="s">
        <v>27</v>
      </c>
      <c r="F44" s="1" t="str">
        <f>T_FY27[[#This Row],[Eng.]]&amp;T_FY27[[#This Row],[大カテゴリ]]&amp;T_FY27[[#This Row],[中カテゴリ]]&amp;T_FY27[[#This Row],[タスク名]]</f>
        <v>FFGITGCTOCSiatol(MAアプリ、MAインフラ)</v>
      </c>
      <c r="G44" s="9">
        <v>0</v>
      </c>
      <c r="H44" s="9"/>
      <c r="I44" s="8">
        <f>SUM(T_FY27[[#This Row],[恒久工数]:[一時工数]])</f>
        <v>0</v>
      </c>
      <c r="J44" s="8">
        <f>_xlfn.XLOOKUP(T_FY27[[#This Row],[(作業用)タスク結合名]],FY26工数!$F:$F,FY26工数!$I:$I,0)</f>
        <v>11</v>
      </c>
      <c r="K4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44" s="2">
        <f>IF(T_FY27[[#This Row],[FY27工数]]=T_FY27[[#This Row],[FY26工数]], "", T_FY27[[#This Row],[FY27工数]]-T_FY27[[#This Row],[FY26工数]])</f>
        <v>-11</v>
      </c>
      <c r="M44" s="11">
        <v>2</v>
      </c>
      <c r="Q44" t="s">
        <v>129</v>
      </c>
    </row>
    <row r="45" spans="1:17">
      <c r="A45" s="1" t="s">
        <v>11</v>
      </c>
      <c r="B45" s="1" t="s">
        <v>12</v>
      </c>
      <c r="C45" s="1" t="s">
        <v>16</v>
      </c>
      <c r="D45" s="1" t="s">
        <v>148</v>
      </c>
      <c r="E45" s="1" t="s">
        <v>27</v>
      </c>
      <c r="F45" s="1" t="str">
        <f>T_FY27[[#This Row],[Eng.]]&amp;T_FY27[[#This Row],[大カテゴリ]]&amp;T_FY27[[#This Row],[中カテゴリ]]&amp;T_FY27[[#This Row],[タスク名]]</f>
        <v>FFGITGCRFSiatol(MAアプリ、MAインフラ)</v>
      </c>
      <c r="G45" s="9">
        <v>0</v>
      </c>
      <c r="H45" s="9"/>
      <c r="I45" s="8">
        <f>SUM(T_FY27[[#This Row],[恒久工数]:[一時工数]])</f>
        <v>0</v>
      </c>
      <c r="J45" s="8">
        <f>_xlfn.XLOOKUP(T_FY27[[#This Row],[(作業用)タスク結合名]],FY26工数!$F:$F,FY26工数!$I:$I,0)</f>
        <v>4</v>
      </c>
      <c r="K4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45" s="2">
        <f>IF(T_FY27[[#This Row],[FY27工数]]=T_FY27[[#This Row],[FY26工数]], "", T_FY27[[#This Row],[FY27工数]]-T_FY27[[#This Row],[FY26工数]])</f>
        <v>-4</v>
      </c>
      <c r="M45" s="11">
        <v>4</v>
      </c>
      <c r="Q45" t="s">
        <v>129</v>
      </c>
    </row>
    <row r="46" spans="1:17">
      <c r="A46" s="1" t="s">
        <v>11</v>
      </c>
      <c r="B46" s="1" t="s">
        <v>12</v>
      </c>
      <c r="C46" s="1" t="s">
        <v>13</v>
      </c>
      <c r="D46" s="1" t="s">
        <v>149</v>
      </c>
      <c r="E46" s="1" t="s">
        <v>28</v>
      </c>
      <c r="F46" s="1" t="str">
        <f>T_FY27[[#This Row],[Eng.]]&amp;T_FY27[[#This Row],[大カテゴリ]]&amp;T_FY27[[#This Row],[中カテゴリ]]&amp;T_FY27[[#This Row],[タスク名]]</f>
        <v>FFGITGCWT時価開示(MAインフラ)</v>
      </c>
      <c r="G46" s="9">
        <v>6</v>
      </c>
      <c r="H46" s="9"/>
      <c r="I46" s="8">
        <f>SUM(T_FY27[[#This Row],[恒久工数]:[一時工数]])</f>
        <v>6</v>
      </c>
      <c r="J46" s="8">
        <f>_xlfn.XLOOKUP(T_FY27[[#This Row],[(作業用)タスク結合名]],FY26工数!$F:$F,FY26工数!$I:$I,0)</f>
        <v>6</v>
      </c>
      <c r="K4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46" s="2" t="str">
        <f>IF(T_FY27[[#This Row],[FY27工数]]=T_FY27[[#This Row],[FY26工数]], "", T_FY27[[#This Row],[FY27工数]]-T_FY27[[#This Row],[FY26工数]])</f>
        <v/>
      </c>
      <c r="M46" s="11">
        <v>9</v>
      </c>
    </row>
    <row r="47" spans="1:17">
      <c r="A47" s="1" t="s">
        <v>11</v>
      </c>
      <c r="B47" s="1" t="s">
        <v>12</v>
      </c>
      <c r="C47" s="1" t="s">
        <v>15</v>
      </c>
      <c r="D47" s="1" t="s">
        <v>149</v>
      </c>
      <c r="E47" s="1" t="s">
        <v>28</v>
      </c>
      <c r="F47" s="1" t="str">
        <f>T_FY27[[#This Row],[Eng.]]&amp;T_FY27[[#This Row],[大カテゴリ]]&amp;T_FY27[[#This Row],[中カテゴリ]]&amp;T_FY27[[#This Row],[タスク名]]</f>
        <v>FFGITGCTOC時価開示(MAインフラ)</v>
      </c>
      <c r="G47" s="9">
        <v>7</v>
      </c>
      <c r="H47" s="9"/>
      <c r="I47" s="8">
        <f>SUM(T_FY27[[#This Row],[恒久工数]:[一時工数]])</f>
        <v>7</v>
      </c>
      <c r="J47" s="8">
        <f>_xlfn.XLOOKUP(T_FY27[[#This Row],[(作業用)タスク結合名]],FY26工数!$F:$F,FY26工数!$I:$I,0)</f>
        <v>7</v>
      </c>
      <c r="K4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47" s="2" t="str">
        <f>IF(T_FY27[[#This Row],[FY27工数]]=T_FY27[[#This Row],[FY26工数]], "", T_FY27[[#This Row],[FY27工数]]-T_FY27[[#This Row],[FY26工数]])</f>
        <v/>
      </c>
      <c r="M47" s="11">
        <v>2</v>
      </c>
    </row>
    <row r="48" spans="1:17">
      <c r="A48" s="1" t="s">
        <v>11</v>
      </c>
      <c r="B48" s="1" t="s">
        <v>12</v>
      </c>
      <c r="C48" s="1" t="s">
        <v>16</v>
      </c>
      <c r="D48" s="1" t="s">
        <v>149</v>
      </c>
      <c r="E48" s="1" t="s">
        <v>28</v>
      </c>
      <c r="F48" s="1" t="str">
        <f>T_FY27[[#This Row],[Eng.]]&amp;T_FY27[[#This Row],[大カテゴリ]]&amp;T_FY27[[#This Row],[中カテゴリ]]&amp;T_FY27[[#This Row],[タスク名]]</f>
        <v>FFGITGCRF時価開示(MAインフラ)</v>
      </c>
      <c r="G48" s="9">
        <v>3</v>
      </c>
      <c r="H48" s="9"/>
      <c r="I48" s="8">
        <f>SUM(T_FY27[[#This Row],[恒久工数]:[一時工数]])</f>
        <v>3</v>
      </c>
      <c r="J48" s="8">
        <f>_xlfn.XLOOKUP(T_FY27[[#This Row],[(作業用)タスク結合名]],FY26工数!$F:$F,FY26工数!$I:$I,0)</f>
        <v>3</v>
      </c>
      <c r="K4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48" s="2" t="str">
        <f>IF(T_FY27[[#This Row],[FY27工数]]=T_FY27[[#This Row],[FY26工数]], "", T_FY27[[#This Row],[FY27工数]]-T_FY27[[#This Row],[FY26工数]])</f>
        <v/>
      </c>
      <c r="M48" s="11">
        <v>4</v>
      </c>
    </row>
    <row r="49" spans="1:18">
      <c r="A49" s="1" t="s">
        <v>11</v>
      </c>
      <c r="B49" s="1" t="s">
        <v>12</v>
      </c>
      <c r="C49" s="1" t="s">
        <v>13</v>
      </c>
      <c r="D49" s="1" t="s">
        <v>173</v>
      </c>
      <c r="E49" s="1" t="s">
        <v>221</v>
      </c>
      <c r="F49" s="1" t="str">
        <f>T_FY27[[#This Row],[Eng.]]&amp;T_FY27[[#This Row],[大カテゴリ]]&amp;T_FY27[[#This Row],[中カテゴリ]]&amp;T_FY27[[#This Row],[タスク名]]</f>
        <v>FFGITGCWTMO束ね(本部決裁・不動産・人事・時価・固定・FFG勘定奉行)</v>
      </c>
      <c r="G49" s="9">
        <v>13</v>
      </c>
      <c r="H49" s="9">
        <v>1</v>
      </c>
      <c r="I49" s="8">
        <f>SUM(T_FY27[[#This Row],[恒久工数]:[一時工数]])</f>
        <v>14</v>
      </c>
      <c r="J49" s="8">
        <f>_xlfn.XLOOKUP(T_FY27[[#This Row],[(作業用)タスク結合名]],FY26工数!$F:$F,FY26工数!$I:$I,0)</f>
        <v>13</v>
      </c>
      <c r="K4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49" s="2">
        <f>IF(T_FY27[[#This Row],[FY27工数]]=T_FY27[[#This Row],[FY26工数]], "", T_FY27[[#This Row],[FY27工数]]-T_FY27[[#This Row],[FY26工数]])</f>
        <v>1</v>
      </c>
      <c r="M49" s="11">
        <v>9</v>
      </c>
      <c r="Q49" t="s">
        <v>197</v>
      </c>
      <c r="R49" t="s">
        <v>196</v>
      </c>
    </row>
    <row r="50" spans="1:18">
      <c r="A50" s="1" t="s">
        <v>11</v>
      </c>
      <c r="B50" s="1" t="s">
        <v>12</v>
      </c>
      <c r="C50" s="1" t="s">
        <v>15</v>
      </c>
      <c r="D50" s="1" t="s">
        <v>173</v>
      </c>
      <c r="E50" s="1" t="s">
        <v>29</v>
      </c>
      <c r="F50" s="1" t="str">
        <f>T_FY27[[#This Row],[Eng.]]&amp;T_FY27[[#This Row],[大カテゴリ]]&amp;T_FY27[[#This Row],[中カテゴリ]]&amp;T_FY27[[#This Row],[タスク名]]</f>
        <v>FFGITGCTOCMO束ね(本部決裁・不動産・人事・時価・固定・FFG勘定奉行)</v>
      </c>
      <c r="G50" s="9">
        <v>14</v>
      </c>
      <c r="H50" s="9">
        <v>1</v>
      </c>
      <c r="I50" s="8">
        <f>SUM(T_FY27[[#This Row],[恒久工数]:[一時工数]])</f>
        <v>15</v>
      </c>
      <c r="J50" s="8">
        <f>_xlfn.XLOOKUP(T_FY27[[#This Row],[(作業用)タスク結合名]],FY26工数!$F:$F,FY26工数!$I:$I,0)</f>
        <v>14</v>
      </c>
      <c r="K5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50" s="2">
        <f>IF(T_FY27[[#This Row],[FY27工数]]=T_FY27[[#This Row],[FY26工数]], "", T_FY27[[#This Row],[FY27工数]]-T_FY27[[#This Row],[FY26工数]])</f>
        <v>1</v>
      </c>
      <c r="M50" s="11">
        <v>2</v>
      </c>
      <c r="Q50" t="s">
        <v>197</v>
      </c>
      <c r="R50" t="s">
        <v>196</v>
      </c>
    </row>
    <row r="51" spans="1:18">
      <c r="A51" s="1" t="s">
        <v>11</v>
      </c>
      <c r="B51" s="1" t="s">
        <v>12</v>
      </c>
      <c r="C51" s="1" t="s">
        <v>16</v>
      </c>
      <c r="D51" s="1" t="s">
        <v>173</v>
      </c>
      <c r="E51" s="1" t="s">
        <v>29</v>
      </c>
      <c r="F51" s="1" t="str">
        <f>T_FY27[[#This Row],[Eng.]]&amp;T_FY27[[#This Row],[大カテゴリ]]&amp;T_FY27[[#This Row],[中カテゴリ]]&amp;T_FY27[[#This Row],[タスク名]]</f>
        <v>FFGITGCRFMO束ね(本部決裁・不動産・人事・時価・固定・FFG勘定奉行)</v>
      </c>
      <c r="G51" s="9">
        <v>6</v>
      </c>
      <c r="H51" s="9"/>
      <c r="I51" s="8">
        <f>SUM(T_FY27[[#This Row],[恒久工数]:[一時工数]])</f>
        <v>6</v>
      </c>
      <c r="J51" s="8">
        <f>_xlfn.XLOOKUP(T_FY27[[#This Row],[(作業用)タスク結合名]],FY26工数!$F:$F,FY26工数!$I:$I,0)</f>
        <v>6</v>
      </c>
      <c r="K5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1" s="2" t="str">
        <f>IF(T_FY27[[#This Row],[FY27工数]]=T_FY27[[#This Row],[FY26工数]], "", T_FY27[[#This Row],[FY27工数]]-T_FY27[[#This Row],[FY26工数]])</f>
        <v/>
      </c>
      <c r="M51" s="11">
        <v>4</v>
      </c>
      <c r="Q51" t="s">
        <v>197</v>
      </c>
      <c r="R51" t="s">
        <v>196</v>
      </c>
    </row>
    <row r="52" spans="1:18">
      <c r="A52" s="1" t="s">
        <v>11</v>
      </c>
      <c r="B52" s="1" t="s">
        <v>12</v>
      </c>
      <c r="C52" s="1" t="s">
        <v>13</v>
      </c>
      <c r="D52" s="1" t="s">
        <v>174</v>
      </c>
      <c r="E52" s="1" t="s">
        <v>30</v>
      </c>
      <c r="F52" s="1" t="str">
        <f>T_FY27[[#This Row],[Eng.]]&amp;T_FY27[[#This Row],[大カテゴリ]]&amp;T_FY27[[#This Row],[中カテゴリ]]&amp;T_FY27[[#This Row],[タスク名]]</f>
        <v>FFGITGCWTMOバックアップ束ね(Siatol・個人ローン・国際・収益・時価)</v>
      </c>
      <c r="G52" s="9">
        <v>10</v>
      </c>
      <c r="H52" s="9"/>
      <c r="I52" s="8">
        <f>SUM(T_FY27[[#This Row],[恒久工数]:[一時工数]])</f>
        <v>10</v>
      </c>
      <c r="J52" s="8">
        <f>_xlfn.XLOOKUP(T_FY27[[#This Row],[(作業用)タスク結合名]],FY26工数!$F:$F,FY26工数!$I:$I,0)</f>
        <v>10</v>
      </c>
      <c r="K5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2" s="2" t="str">
        <f>IF(T_FY27[[#This Row],[FY27工数]]=T_FY27[[#This Row],[FY26工数]], "", T_FY27[[#This Row],[FY27工数]]-T_FY27[[#This Row],[FY26工数]])</f>
        <v/>
      </c>
      <c r="M52" s="11">
        <v>9</v>
      </c>
    </row>
    <row r="53" spans="1:18">
      <c r="A53" s="1" t="s">
        <v>11</v>
      </c>
      <c r="B53" s="1" t="s">
        <v>12</v>
      </c>
      <c r="C53" s="1" t="s">
        <v>15</v>
      </c>
      <c r="D53" s="1" t="s">
        <v>174</v>
      </c>
      <c r="E53" s="1" t="s">
        <v>30</v>
      </c>
      <c r="F53" s="1" t="str">
        <f>T_FY27[[#This Row],[Eng.]]&amp;T_FY27[[#This Row],[大カテゴリ]]&amp;T_FY27[[#This Row],[中カテゴリ]]&amp;T_FY27[[#This Row],[タスク名]]</f>
        <v>FFGITGCTOCMOバックアップ束ね(Siatol・個人ローン・国際・収益・時価)</v>
      </c>
      <c r="G53" s="9">
        <v>11</v>
      </c>
      <c r="H53" s="9"/>
      <c r="I53" s="8">
        <f>SUM(T_FY27[[#This Row],[恒久工数]:[一時工数]])</f>
        <v>11</v>
      </c>
      <c r="J53" s="8">
        <f>_xlfn.XLOOKUP(T_FY27[[#This Row],[(作業用)タスク結合名]],FY26工数!$F:$F,FY26工数!$I:$I,0)</f>
        <v>11</v>
      </c>
      <c r="K5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3" s="2" t="str">
        <f>IF(T_FY27[[#This Row],[FY27工数]]=T_FY27[[#This Row],[FY26工数]], "", T_FY27[[#This Row],[FY27工数]]-T_FY27[[#This Row],[FY26工数]])</f>
        <v/>
      </c>
      <c r="M53" s="11">
        <v>2</v>
      </c>
    </row>
    <row r="54" spans="1:18">
      <c r="A54" s="1" t="s">
        <v>11</v>
      </c>
      <c r="B54" s="1" t="s">
        <v>12</v>
      </c>
      <c r="C54" s="1" t="s">
        <v>16</v>
      </c>
      <c r="D54" s="1" t="s">
        <v>174</v>
      </c>
      <c r="E54" s="1" t="s">
        <v>30</v>
      </c>
      <c r="F54" s="1" t="str">
        <f>T_FY27[[#This Row],[Eng.]]&amp;T_FY27[[#This Row],[大カテゴリ]]&amp;T_FY27[[#This Row],[中カテゴリ]]&amp;T_FY27[[#This Row],[タスク名]]</f>
        <v>FFGITGCRFMOバックアップ束ね(Siatol・個人ローン・国際・収益・時価)</v>
      </c>
      <c r="G54" s="9">
        <v>4</v>
      </c>
      <c r="H54" s="9"/>
      <c r="I54" s="8">
        <f>SUM(T_FY27[[#This Row],[恒久工数]:[一時工数]])</f>
        <v>4</v>
      </c>
      <c r="J54" s="8">
        <f>_xlfn.XLOOKUP(T_FY27[[#This Row],[(作業用)タスク結合名]],FY26工数!$F:$F,FY26工数!$I:$I,0)</f>
        <v>4</v>
      </c>
      <c r="K5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4" s="2" t="str">
        <f>IF(T_FY27[[#This Row],[FY27工数]]=T_FY27[[#This Row],[FY26工数]], "", T_FY27[[#This Row],[FY27工数]]-T_FY27[[#This Row],[FY26工数]])</f>
        <v/>
      </c>
      <c r="M54" s="11">
        <v>4</v>
      </c>
    </row>
    <row r="55" spans="1:18">
      <c r="A55" s="1" t="s">
        <v>11</v>
      </c>
      <c r="B55" s="1" t="s">
        <v>12</v>
      </c>
      <c r="C55" s="1" t="s">
        <v>13</v>
      </c>
      <c r="D55" s="1" t="s">
        <v>174</v>
      </c>
      <c r="E55" s="1" t="s">
        <v>31</v>
      </c>
      <c r="F55" s="1" t="str">
        <f>T_FY27[[#This Row],[Eng.]]&amp;T_FY27[[#This Row],[大カテゴリ]]&amp;T_FY27[[#This Row],[中カテゴリ]]&amp;T_FY27[[#This Row],[タスク名]]</f>
        <v>FFGITGCWTMO障害束ね(Siatol・個人ローン・国際・収益・時価)</v>
      </c>
      <c r="G55" s="9">
        <v>10</v>
      </c>
      <c r="H55" s="9"/>
      <c r="I55" s="8">
        <f>SUM(T_FY27[[#This Row],[恒久工数]:[一時工数]])</f>
        <v>10</v>
      </c>
      <c r="J55" s="8">
        <f>_xlfn.XLOOKUP(T_FY27[[#This Row],[(作業用)タスク結合名]],FY26工数!$F:$F,FY26工数!$I:$I,0)</f>
        <v>10</v>
      </c>
      <c r="K5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5" s="2" t="str">
        <f>IF(T_FY27[[#This Row],[FY27工数]]=T_FY27[[#This Row],[FY26工数]], "", T_FY27[[#This Row],[FY27工数]]-T_FY27[[#This Row],[FY26工数]])</f>
        <v/>
      </c>
      <c r="M55" s="11">
        <v>9</v>
      </c>
    </row>
    <row r="56" spans="1:18">
      <c r="A56" s="1" t="s">
        <v>11</v>
      </c>
      <c r="B56" s="1" t="s">
        <v>12</v>
      </c>
      <c r="C56" s="1" t="s">
        <v>15</v>
      </c>
      <c r="D56" s="1" t="s">
        <v>174</v>
      </c>
      <c r="E56" s="1" t="s">
        <v>31</v>
      </c>
      <c r="F56" s="1" t="str">
        <f>T_FY27[[#This Row],[Eng.]]&amp;T_FY27[[#This Row],[大カテゴリ]]&amp;T_FY27[[#This Row],[中カテゴリ]]&amp;T_FY27[[#This Row],[タスク名]]</f>
        <v>FFGITGCTOCMO障害束ね(Siatol・個人ローン・国際・収益・時価)</v>
      </c>
      <c r="G56" s="9">
        <v>11</v>
      </c>
      <c r="H56" s="9"/>
      <c r="I56" s="8">
        <f>SUM(T_FY27[[#This Row],[恒久工数]:[一時工数]])</f>
        <v>11</v>
      </c>
      <c r="J56" s="8">
        <f>_xlfn.XLOOKUP(T_FY27[[#This Row],[(作業用)タスク結合名]],FY26工数!$F:$F,FY26工数!$I:$I,0)</f>
        <v>11</v>
      </c>
      <c r="K5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6" s="2" t="str">
        <f>IF(T_FY27[[#This Row],[FY27工数]]=T_FY27[[#This Row],[FY26工数]], "", T_FY27[[#This Row],[FY27工数]]-T_FY27[[#This Row],[FY26工数]])</f>
        <v/>
      </c>
      <c r="M56" s="11">
        <v>2</v>
      </c>
    </row>
    <row r="57" spans="1:18">
      <c r="A57" s="1" t="s">
        <v>11</v>
      </c>
      <c r="B57" s="1" t="s">
        <v>12</v>
      </c>
      <c r="C57" s="1" t="s">
        <v>16</v>
      </c>
      <c r="D57" s="1" t="s">
        <v>174</v>
      </c>
      <c r="E57" s="1" t="s">
        <v>31</v>
      </c>
      <c r="F57" s="1" t="str">
        <f>T_FY27[[#This Row],[Eng.]]&amp;T_FY27[[#This Row],[大カテゴリ]]&amp;T_FY27[[#This Row],[中カテゴリ]]&amp;T_FY27[[#This Row],[タスク名]]</f>
        <v>FFGITGCRFMO障害束ね(Siatol・個人ローン・国際・収益・時価)</v>
      </c>
      <c r="G57" s="9">
        <v>4</v>
      </c>
      <c r="H57" s="9"/>
      <c r="I57" s="8">
        <f>SUM(T_FY27[[#This Row],[恒久工数]:[一時工数]])</f>
        <v>4</v>
      </c>
      <c r="J57" s="8">
        <f>_xlfn.XLOOKUP(T_FY27[[#This Row],[(作業用)タスク結合名]],FY26工数!$F:$F,FY26工数!$I:$I,0)</f>
        <v>4</v>
      </c>
      <c r="K5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7" s="2" t="str">
        <f>IF(T_FY27[[#This Row],[FY27工数]]=T_FY27[[#This Row],[FY26工数]], "", T_FY27[[#This Row],[FY27工数]]-T_FY27[[#This Row],[FY26工数]])</f>
        <v/>
      </c>
      <c r="M57" s="11">
        <v>4</v>
      </c>
    </row>
    <row r="58" spans="1:18">
      <c r="A58" s="1" t="s">
        <v>11</v>
      </c>
      <c r="B58" s="1" t="s">
        <v>12</v>
      </c>
      <c r="C58" s="1" t="s">
        <v>13</v>
      </c>
      <c r="D58" s="1"/>
      <c r="E58" s="1" t="s">
        <v>32</v>
      </c>
      <c r="F58" s="1" t="str">
        <f>T_FY27[[#This Row],[Eng.]]&amp;T_FY27[[#This Row],[大カテゴリ]]&amp;T_FY27[[#This Row],[中カテゴリ]]&amp;T_FY27[[#This Row],[タスク名]]</f>
        <v>FFGITGCWT投資経費(MA,MO)</v>
      </c>
      <c r="G58" s="9">
        <v>10</v>
      </c>
      <c r="H58" s="9"/>
      <c r="I58" s="8">
        <f>SUM(T_FY27[[#This Row],[恒久工数]:[一時工数]])</f>
        <v>10</v>
      </c>
      <c r="J58" s="8">
        <f>_xlfn.XLOOKUP(T_FY27[[#This Row],[(作業用)タスク結合名]],FY26工数!$F:$F,FY26工数!$I:$I,0)</f>
        <v>10</v>
      </c>
      <c r="K5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8" s="2" t="str">
        <f>IF(T_FY27[[#This Row],[FY27工数]]=T_FY27[[#This Row],[FY26工数]], "", T_FY27[[#This Row],[FY27工数]]-T_FY27[[#This Row],[FY26工数]])</f>
        <v/>
      </c>
      <c r="M58" s="11">
        <v>9</v>
      </c>
    </row>
    <row r="59" spans="1:18">
      <c r="A59" s="1" t="s">
        <v>11</v>
      </c>
      <c r="B59" s="1" t="s">
        <v>12</v>
      </c>
      <c r="C59" s="1" t="s">
        <v>15</v>
      </c>
      <c r="D59" s="1"/>
      <c r="E59" s="1" t="s">
        <v>32</v>
      </c>
      <c r="F59" s="1" t="str">
        <f>T_FY27[[#This Row],[Eng.]]&amp;T_FY27[[#This Row],[大カテゴリ]]&amp;T_FY27[[#This Row],[中カテゴリ]]&amp;T_FY27[[#This Row],[タスク名]]</f>
        <v>FFGITGCTOC投資経費(MA,MO)</v>
      </c>
      <c r="G59" s="9">
        <v>11</v>
      </c>
      <c r="H59" s="9"/>
      <c r="I59" s="8">
        <f>SUM(T_FY27[[#This Row],[恒久工数]:[一時工数]])</f>
        <v>11</v>
      </c>
      <c r="J59" s="8">
        <f>_xlfn.XLOOKUP(T_FY27[[#This Row],[(作業用)タスク結合名]],FY26工数!$F:$F,FY26工数!$I:$I,0)</f>
        <v>11</v>
      </c>
      <c r="K5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59" s="2" t="str">
        <f>IF(T_FY27[[#This Row],[FY27工数]]=T_FY27[[#This Row],[FY26工数]], "", T_FY27[[#This Row],[FY27工数]]-T_FY27[[#This Row],[FY26工数]])</f>
        <v/>
      </c>
      <c r="M59" s="11">
        <v>2</v>
      </c>
    </row>
    <row r="60" spans="1:18">
      <c r="A60" s="1" t="s">
        <v>11</v>
      </c>
      <c r="B60" s="1" t="s">
        <v>12</v>
      </c>
      <c r="C60" s="1" t="s">
        <v>16</v>
      </c>
      <c r="D60" s="1"/>
      <c r="E60" s="1" t="s">
        <v>32</v>
      </c>
      <c r="F60" s="1" t="str">
        <f>T_FY27[[#This Row],[Eng.]]&amp;T_FY27[[#This Row],[大カテゴリ]]&amp;T_FY27[[#This Row],[中カテゴリ]]&amp;T_FY27[[#This Row],[タスク名]]</f>
        <v>FFGITGCRF投資経費(MA,MO)</v>
      </c>
      <c r="G60" s="9">
        <v>4</v>
      </c>
      <c r="H60" s="9"/>
      <c r="I60" s="8">
        <f>SUM(T_FY27[[#This Row],[恒久工数]:[一時工数]])</f>
        <v>4</v>
      </c>
      <c r="J60" s="8">
        <f>_xlfn.XLOOKUP(T_FY27[[#This Row],[(作業用)タスク結合名]],FY26工数!$F:$F,FY26工数!$I:$I,0)</f>
        <v>4</v>
      </c>
      <c r="K6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0" s="2" t="str">
        <f>IF(T_FY27[[#This Row],[FY27工数]]=T_FY27[[#This Row],[FY26工数]], "", T_FY27[[#This Row],[FY27工数]]-T_FY27[[#This Row],[FY26工数]])</f>
        <v/>
      </c>
      <c r="M60" s="11">
        <v>4</v>
      </c>
    </row>
    <row r="61" spans="1:18">
      <c r="A61" s="1" t="s">
        <v>11</v>
      </c>
      <c r="B61" s="1" t="s">
        <v>12</v>
      </c>
      <c r="C61" s="1" t="s">
        <v>13</v>
      </c>
      <c r="D61" s="1" t="s">
        <v>165</v>
      </c>
      <c r="E61" s="1" t="s">
        <v>33</v>
      </c>
      <c r="F61" s="1" t="str">
        <f>T_FY27[[#This Row],[Eng.]]&amp;T_FY27[[#This Row],[大カテゴリ]]&amp;T_FY27[[#This Row],[中カテゴリ]]&amp;T_FY27[[#This Row],[タスク名]]</f>
        <v>FFGITGCWT固定資産(MA)</v>
      </c>
      <c r="G61" s="9">
        <v>7</v>
      </c>
      <c r="H61" s="9"/>
      <c r="I61" s="8">
        <f>SUM(T_FY27[[#This Row],[恒久工数]:[一時工数]])</f>
        <v>7</v>
      </c>
      <c r="J61" s="8">
        <f>_xlfn.XLOOKUP(T_FY27[[#This Row],[(作業用)タスク結合名]],FY26工数!$F:$F,FY26工数!$I:$I,0)</f>
        <v>7</v>
      </c>
      <c r="K6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1" s="2" t="str">
        <f>IF(T_FY27[[#This Row],[FY27工数]]=T_FY27[[#This Row],[FY26工数]], "", T_FY27[[#This Row],[FY27工数]]-T_FY27[[#This Row],[FY26工数]])</f>
        <v/>
      </c>
      <c r="M61" s="11">
        <v>9</v>
      </c>
    </row>
    <row r="62" spans="1:18">
      <c r="A62" s="1" t="s">
        <v>11</v>
      </c>
      <c r="B62" s="1" t="s">
        <v>12</v>
      </c>
      <c r="C62" s="1" t="s">
        <v>15</v>
      </c>
      <c r="D62" s="1" t="s">
        <v>165</v>
      </c>
      <c r="E62" s="1" t="s">
        <v>33</v>
      </c>
      <c r="F62" s="1" t="str">
        <f>T_FY27[[#This Row],[Eng.]]&amp;T_FY27[[#This Row],[大カテゴリ]]&amp;T_FY27[[#This Row],[中カテゴリ]]&amp;T_FY27[[#This Row],[タスク名]]</f>
        <v>FFGITGCTOC固定資産(MA)</v>
      </c>
      <c r="G62" s="9">
        <v>8</v>
      </c>
      <c r="H62" s="9"/>
      <c r="I62" s="8">
        <f>SUM(T_FY27[[#This Row],[恒久工数]:[一時工数]])</f>
        <v>8</v>
      </c>
      <c r="J62" s="8">
        <f>_xlfn.XLOOKUP(T_FY27[[#This Row],[(作業用)タスク結合名]],FY26工数!$F:$F,FY26工数!$I:$I,0)</f>
        <v>8</v>
      </c>
      <c r="K6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2" s="2" t="str">
        <f>IF(T_FY27[[#This Row],[FY27工数]]=T_FY27[[#This Row],[FY26工数]], "", T_FY27[[#This Row],[FY27工数]]-T_FY27[[#This Row],[FY26工数]])</f>
        <v/>
      </c>
      <c r="M62" s="11">
        <v>2</v>
      </c>
    </row>
    <row r="63" spans="1:18">
      <c r="A63" s="1" t="s">
        <v>11</v>
      </c>
      <c r="B63" s="1" t="s">
        <v>12</v>
      </c>
      <c r="C63" s="1" t="s">
        <v>16</v>
      </c>
      <c r="D63" s="1" t="s">
        <v>165</v>
      </c>
      <c r="E63" s="1" t="s">
        <v>33</v>
      </c>
      <c r="F63" s="1" t="str">
        <f>T_FY27[[#This Row],[Eng.]]&amp;T_FY27[[#This Row],[大カテゴリ]]&amp;T_FY27[[#This Row],[中カテゴリ]]&amp;T_FY27[[#This Row],[タスク名]]</f>
        <v>FFGITGCRF固定資産(MA)</v>
      </c>
      <c r="G63" s="9">
        <v>4</v>
      </c>
      <c r="H63" s="9"/>
      <c r="I63" s="8">
        <f>SUM(T_FY27[[#This Row],[恒久工数]:[一時工数]])</f>
        <v>4</v>
      </c>
      <c r="J63" s="8">
        <f>_xlfn.XLOOKUP(T_FY27[[#This Row],[(作業用)タスク結合名]],FY26工数!$F:$F,FY26工数!$I:$I,0)</f>
        <v>4</v>
      </c>
      <c r="K6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3" s="2" t="str">
        <f>IF(T_FY27[[#This Row],[FY27工数]]=T_FY27[[#This Row],[FY26工数]], "", T_FY27[[#This Row],[FY27工数]]-T_FY27[[#This Row],[FY26工数]])</f>
        <v/>
      </c>
      <c r="M63" s="11">
        <v>4</v>
      </c>
    </row>
    <row r="64" spans="1:18">
      <c r="A64" s="1" t="s">
        <v>11</v>
      </c>
      <c r="B64" s="1" t="s">
        <v>12</v>
      </c>
      <c r="C64" s="1" t="s">
        <v>13</v>
      </c>
      <c r="D64" s="1" t="s">
        <v>153</v>
      </c>
      <c r="E64" s="1" t="s">
        <v>34</v>
      </c>
      <c r="F64" s="1" t="str">
        <f>T_FY27[[#This Row],[Eng.]]&amp;T_FY27[[#This Row],[大カテゴリ]]&amp;T_FY27[[#This Row],[中カテゴリ]]&amp;T_FY27[[#This Row],[タスク名]]</f>
        <v>FFGITGCWT退職給付債務計算ソフト</v>
      </c>
      <c r="G64" s="9">
        <v>5</v>
      </c>
      <c r="H64" s="9"/>
      <c r="I64" s="8">
        <f>SUM(T_FY27[[#This Row],[恒久工数]:[一時工数]])</f>
        <v>5</v>
      </c>
      <c r="J64" s="8">
        <f>_xlfn.XLOOKUP(T_FY27[[#This Row],[(作業用)タスク結合名]],FY26工数!$F:$F,FY26工数!$I:$I,0)</f>
        <v>5</v>
      </c>
      <c r="K6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4" s="2" t="str">
        <f>IF(T_FY27[[#This Row],[FY27工数]]=T_FY27[[#This Row],[FY26工数]], "", T_FY27[[#This Row],[FY27工数]]-T_FY27[[#This Row],[FY26工数]])</f>
        <v/>
      </c>
      <c r="M64" s="11">
        <v>9</v>
      </c>
    </row>
    <row r="65" spans="1:18">
      <c r="A65" s="1" t="s">
        <v>11</v>
      </c>
      <c r="B65" s="1" t="s">
        <v>12</v>
      </c>
      <c r="C65" s="1" t="s">
        <v>15</v>
      </c>
      <c r="D65" s="1" t="s">
        <v>153</v>
      </c>
      <c r="E65" s="1" t="s">
        <v>34</v>
      </c>
      <c r="F65" s="1" t="str">
        <f>T_FY27[[#This Row],[Eng.]]&amp;T_FY27[[#This Row],[大カテゴリ]]&amp;T_FY27[[#This Row],[中カテゴリ]]&amp;T_FY27[[#This Row],[タスク名]]</f>
        <v>FFGITGCTOC退職給付債務計算ソフト</v>
      </c>
      <c r="G65" s="9">
        <v>5</v>
      </c>
      <c r="H65" s="9"/>
      <c r="I65" s="8">
        <f>SUM(T_FY27[[#This Row],[恒久工数]:[一時工数]])</f>
        <v>5</v>
      </c>
      <c r="J65" s="8">
        <f>_xlfn.XLOOKUP(T_FY27[[#This Row],[(作業用)タスク結合名]],FY26工数!$F:$F,FY26工数!$I:$I,0)</f>
        <v>5</v>
      </c>
      <c r="K6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5" s="2" t="str">
        <f>IF(T_FY27[[#This Row],[FY27工数]]=T_FY27[[#This Row],[FY26工数]], "", T_FY27[[#This Row],[FY27工数]]-T_FY27[[#This Row],[FY26工数]])</f>
        <v/>
      </c>
      <c r="M65" s="11">
        <v>2</v>
      </c>
    </row>
    <row r="66" spans="1:18">
      <c r="A66" s="1" t="s">
        <v>11</v>
      </c>
      <c r="B66" s="1" t="s">
        <v>12</v>
      </c>
      <c r="C66" s="1" t="s">
        <v>16</v>
      </c>
      <c r="D66" s="1" t="s">
        <v>153</v>
      </c>
      <c r="E66" s="1" t="s">
        <v>34</v>
      </c>
      <c r="F66" s="1" t="str">
        <f>T_FY27[[#This Row],[Eng.]]&amp;T_FY27[[#This Row],[大カテゴリ]]&amp;T_FY27[[#This Row],[中カテゴリ]]&amp;T_FY27[[#This Row],[タスク名]]</f>
        <v>FFGITGCRF退職給付債務計算ソフト</v>
      </c>
      <c r="G66" s="9">
        <v>2</v>
      </c>
      <c r="H66" s="9"/>
      <c r="I66" s="8">
        <f>SUM(T_FY27[[#This Row],[恒久工数]:[一時工数]])</f>
        <v>2</v>
      </c>
      <c r="J66" s="8">
        <f>_xlfn.XLOOKUP(T_FY27[[#This Row],[(作業用)タスク結合名]],FY26工数!$F:$F,FY26工数!$I:$I,0)</f>
        <v>2</v>
      </c>
      <c r="K6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6" s="2" t="str">
        <f>IF(T_FY27[[#This Row],[FY27工数]]=T_FY27[[#This Row],[FY26工数]], "", T_FY27[[#This Row],[FY27工数]]-T_FY27[[#This Row],[FY26工数]])</f>
        <v/>
      </c>
      <c r="M66" s="11">
        <v>4</v>
      </c>
    </row>
    <row r="67" spans="1:18">
      <c r="A67" s="1" t="s">
        <v>11</v>
      </c>
      <c r="B67" s="1" t="s">
        <v>12</v>
      </c>
      <c r="C67" s="1" t="s">
        <v>13</v>
      </c>
      <c r="D67" s="1" t="s">
        <v>150</v>
      </c>
      <c r="E67" s="1" t="s">
        <v>127</v>
      </c>
      <c r="F67" s="1" t="str">
        <f>T_FY27[[#This Row],[Eng.]]&amp;T_FY27[[#This Row],[大カテゴリ]]&amp;T_FY27[[#This Row],[中カテゴリ]]&amp;T_FY27[[#This Row],[タスク名]]</f>
        <v>FFGITGCWThonorJS</v>
      </c>
      <c r="G67" s="9">
        <v>17</v>
      </c>
      <c r="H67" s="9"/>
      <c r="I67" s="8">
        <f>SUM(T_FY27[[#This Row],[恒久工数]:[一時工数]])</f>
        <v>17</v>
      </c>
      <c r="J67" s="8">
        <f>_xlfn.XLOOKUP(T_FY27[[#This Row],[(作業用)タスク結合名]],FY26工数!$F:$F,FY26工数!$I:$I,0)</f>
        <v>34</v>
      </c>
      <c r="K6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67" s="2">
        <f>IF(T_FY27[[#This Row],[FY27工数]]=T_FY27[[#This Row],[FY26工数]], "", T_FY27[[#This Row],[FY27工数]]-T_FY27[[#This Row],[FY26工数]])</f>
        <v>-17</v>
      </c>
      <c r="M67" s="11">
        <v>9</v>
      </c>
      <c r="Q67" t="s">
        <v>207</v>
      </c>
    </row>
    <row r="68" spans="1:18">
      <c r="A68" s="1" t="s">
        <v>11</v>
      </c>
      <c r="B68" s="1" t="s">
        <v>12</v>
      </c>
      <c r="C68" s="1" t="s">
        <v>15</v>
      </c>
      <c r="D68" s="1" t="s">
        <v>150</v>
      </c>
      <c r="E68" s="1" t="s">
        <v>127</v>
      </c>
      <c r="F68" s="1" t="str">
        <f>T_FY27[[#This Row],[Eng.]]&amp;T_FY27[[#This Row],[大カテゴリ]]&amp;T_FY27[[#This Row],[中カテゴリ]]&amp;T_FY27[[#This Row],[タスク名]]</f>
        <v>FFGITGCTOChonorJS</v>
      </c>
      <c r="G68" s="9">
        <v>17</v>
      </c>
      <c r="H68" s="9"/>
      <c r="I68" s="8">
        <f>SUM(T_FY27[[#This Row],[恒久工数]:[一時工数]])</f>
        <v>17</v>
      </c>
      <c r="J68" s="8">
        <f>_xlfn.XLOOKUP(T_FY27[[#This Row],[(作業用)タスク結合名]],FY26工数!$F:$F,FY26工数!$I:$I,0)</f>
        <v>17</v>
      </c>
      <c r="K6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8" s="2" t="str">
        <f>IF(T_FY27[[#This Row],[FY27工数]]=T_FY27[[#This Row],[FY26工数]], "", T_FY27[[#This Row],[FY27工数]]-T_FY27[[#This Row],[FY26工数]])</f>
        <v/>
      </c>
      <c r="M68" s="11">
        <v>2</v>
      </c>
    </row>
    <row r="69" spans="1:18">
      <c r="A69" s="1" t="s">
        <v>11</v>
      </c>
      <c r="B69" s="1" t="s">
        <v>12</v>
      </c>
      <c r="C69" s="1" t="s">
        <v>16</v>
      </c>
      <c r="D69" s="1" t="s">
        <v>150</v>
      </c>
      <c r="E69" s="1" t="s">
        <v>127</v>
      </c>
      <c r="F69" s="1" t="str">
        <f>T_FY27[[#This Row],[Eng.]]&amp;T_FY27[[#This Row],[大カテゴリ]]&amp;T_FY27[[#This Row],[中カテゴリ]]&amp;T_FY27[[#This Row],[タスク名]]</f>
        <v>FFGITGCRFhonorJS</v>
      </c>
      <c r="G69" s="9">
        <v>5</v>
      </c>
      <c r="H69" s="9"/>
      <c r="I69" s="8">
        <f>SUM(T_FY27[[#This Row],[恒久工数]:[一時工数]])</f>
        <v>5</v>
      </c>
      <c r="J69" s="8">
        <f>_xlfn.XLOOKUP(T_FY27[[#This Row],[(作業用)タスク結合名]],FY26工数!$F:$F,FY26工数!$I:$I,0)</f>
        <v>5</v>
      </c>
      <c r="K6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69" s="2" t="str">
        <f>IF(T_FY27[[#This Row],[FY27工数]]=T_FY27[[#This Row],[FY26工数]], "", T_FY27[[#This Row],[FY27工数]]-T_FY27[[#This Row],[FY26工数]])</f>
        <v/>
      </c>
      <c r="M69" s="11">
        <v>4</v>
      </c>
    </row>
    <row r="70" spans="1:18">
      <c r="A70" s="1" t="s">
        <v>11</v>
      </c>
      <c r="B70" s="1" t="s">
        <v>12</v>
      </c>
      <c r="C70" s="1" t="s">
        <v>13</v>
      </c>
      <c r="D70" s="1" t="s">
        <v>151</v>
      </c>
      <c r="E70" s="1" t="s">
        <v>35</v>
      </c>
      <c r="F70" s="1" t="str">
        <f>T_FY27[[#This Row],[Eng.]]&amp;T_FY27[[#This Row],[大カテゴリ]]&amp;T_FY27[[#This Row],[中カテゴリ]]&amp;T_FY27[[#This Row],[タスク名]]</f>
        <v>FFGITGCWTRPA</v>
      </c>
      <c r="G70" s="9">
        <v>17</v>
      </c>
      <c r="H70" s="9"/>
      <c r="I70" s="8">
        <f>SUM(T_FY27[[#This Row],[恒久工数]:[一時工数]])</f>
        <v>17</v>
      </c>
      <c r="J70" s="8">
        <f>_xlfn.XLOOKUP(T_FY27[[#This Row],[(作業用)タスク結合名]],FY26工数!$F:$F,FY26工数!$I:$I,0)</f>
        <v>34</v>
      </c>
      <c r="K7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70" s="2">
        <f>IF(T_FY27[[#This Row],[FY27工数]]=T_FY27[[#This Row],[FY26工数]], "", T_FY27[[#This Row],[FY27工数]]-T_FY27[[#This Row],[FY26工数]])</f>
        <v>-17</v>
      </c>
      <c r="M70" s="11">
        <v>9</v>
      </c>
      <c r="Q70" t="s">
        <v>204</v>
      </c>
    </row>
    <row r="71" spans="1:18">
      <c r="A71" s="1" t="s">
        <v>11</v>
      </c>
      <c r="B71" s="1" t="s">
        <v>12</v>
      </c>
      <c r="C71" s="1" t="s">
        <v>15</v>
      </c>
      <c r="D71" s="1" t="s">
        <v>151</v>
      </c>
      <c r="E71" s="1" t="s">
        <v>35</v>
      </c>
      <c r="F71" s="1" t="str">
        <f>T_FY27[[#This Row],[Eng.]]&amp;T_FY27[[#This Row],[大カテゴリ]]&amp;T_FY27[[#This Row],[中カテゴリ]]&amp;T_FY27[[#This Row],[タスク名]]</f>
        <v>FFGITGCTOCRPA</v>
      </c>
      <c r="G71" s="9">
        <v>25.5</v>
      </c>
      <c r="H71" s="9"/>
      <c r="I71" s="8">
        <f>SUM(T_FY27[[#This Row],[恒久工数]:[一時工数]])</f>
        <v>25.5</v>
      </c>
      <c r="J71" s="8">
        <f>_xlfn.XLOOKUP(T_FY27[[#This Row],[(作業用)タスク結合名]],FY26工数!$F:$F,FY26工数!$I:$I,0)</f>
        <v>0</v>
      </c>
      <c r="K7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71" s="2">
        <f>IF(T_FY27[[#This Row],[FY27工数]]=T_FY27[[#This Row],[FY26工数]], "", T_FY27[[#This Row],[FY27工数]]-T_FY27[[#This Row],[FY26工数]])</f>
        <v>25.5</v>
      </c>
      <c r="M71" s="11">
        <v>2</v>
      </c>
      <c r="Q71" t="s">
        <v>205</v>
      </c>
    </row>
    <row r="72" spans="1:18">
      <c r="A72" s="1" t="s">
        <v>11</v>
      </c>
      <c r="B72" s="1" t="s">
        <v>12</v>
      </c>
      <c r="C72" s="1" t="s">
        <v>16</v>
      </c>
      <c r="D72" s="1" t="s">
        <v>151</v>
      </c>
      <c r="E72" s="1" t="s">
        <v>35</v>
      </c>
      <c r="F72" s="1" t="str">
        <f>T_FY27[[#This Row],[Eng.]]&amp;T_FY27[[#This Row],[大カテゴリ]]&amp;T_FY27[[#This Row],[中カテゴリ]]&amp;T_FY27[[#This Row],[タスク名]]</f>
        <v>FFGITGCRFRPA</v>
      </c>
      <c r="G72" s="9">
        <v>7.5</v>
      </c>
      <c r="H72" s="9"/>
      <c r="I72" s="8">
        <f>SUM(T_FY27[[#This Row],[恒久工数]:[一時工数]])</f>
        <v>7.5</v>
      </c>
      <c r="J72" s="8">
        <f>_xlfn.XLOOKUP(T_FY27[[#This Row],[(作業用)タスク結合名]],FY26工数!$F:$F,FY26工数!$I:$I,0)</f>
        <v>0</v>
      </c>
      <c r="K7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72" s="2">
        <f>IF(T_FY27[[#This Row],[FY27工数]]=T_FY27[[#This Row],[FY26工数]], "", T_FY27[[#This Row],[FY27工数]]-T_FY27[[#This Row],[FY26工数]])</f>
        <v>7.5</v>
      </c>
      <c r="M72" s="11">
        <v>4</v>
      </c>
      <c r="Q72" t="s">
        <v>206</v>
      </c>
    </row>
    <row r="73" spans="1:18">
      <c r="A73" s="1" t="s">
        <v>11</v>
      </c>
      <c r="B73" s="1" t="s">
        <v>12</v>
      </c>
      <c r="C73" s="1" t="s">
        <v>13</v>
      </c>
      <c r="D73" s="1" t="s">
        <v>152</v>
      </c>
      <c r="E73" s="1" t="s">
        <v>36</v>
      </c>
      <c r="F73" s="1" t="str">
        <f>T_FY27[[#This Row],[Eng.]]&amp;T_FY27[[#This Row],[大カテゴリ]]&amp;T_FY27[[#This Row],[中カテゴリ]]&amp;T_FY27[[#This Row],[タスク名]]</f>
        <v>FFGITGCWTPRASa</v>
      </c>
      <c r="G73" s="9">
        <v>10</v>
      </c>
      <c r="H73" s="9"/>
      <c r="I73" s="8">
        <f>SUM(T_FY27[[#This Row],[恒久工数]:[一時工数]])</f>
        <v>10</v>
      </c>
      <c r="J73" s="8">
        <f>_xlfn.XLOOKUP(T_FY27[[#This Row],[(作業用)タスク結合名]],FY26工数!$F:$F,FY26工数!$I:$I,0)</f>
        <v>10</v>
      </c>
      <c r="K7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73" s="2" t="str">
        <f>IF(T_FY27[[#This Row],[FY27工数]]=T_FY27[[#This Row],[FY26工数]], "", T_FY27[[#This Row],[FY27工数]]-T_FY27[[#This Row],[FY26工数]])</f>
        <v/>
      </c>
      <c r="M73" s="11">
        <v>9</v>
      </c>
    </row>
    <row r="74" spans="1:18">
      <c r="A74" s="1" t="s">
        <v>11</v>
      </c>
      <c r="B74" s="1" t="s">
        <v>12</v>
      </c>
      <c r="C74" s="1" t="s">
        <v>15</v>
      </c>
      <c r="D74" s="1" t="s">
        <v>152</v>
      </c>
      <c r="E74" s="1" t="s">
        <v>36</v>
      </c>
      <c r="F74" s="1" t="str">
        <f>T_FY27[[#This Row],[Eng.]]&amp;T_FY27[[#This Row],[大カテゴリ]]&amp;T_FY27[[#This Row],[中カテゴリ]]&amp;T_FY27[[#This Row],[タスク名]]</f>
        <v>FFGITGCTOCPRASa</v>
      </c>
      <c r="G74" s="9">
        <v>10</v>
      </c>
      <c r="H74" s="9"/>
      <c r="I74" s="8">
        <f>SUM(T_FY27[[#This Row],[恒久工数]:[一時工数]])</f>
        <v>10</v>
      </c>
      <c r="J74" s="8">
        <f>_xlfn.XLOOKUP(T_FY27[[#This Row],[(作業用)タスク結合名]],FY26工数!$F:$F,FY26工数!$I:$I,0)</f>
        <v>10</v>
      </c>
      <c r="K7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74" s="2" t="str">
        <f>IF(T_FY27[[#This Row],[FY27工数]]=T_FY27[[#This Row],[FY26工数]], "", T_FY27[[#This Row],[FY27工数]]-T_FY27[[#This Row],[FY26工数]])</f>
        <v/>
      </c>
      <c r="M74" s="11">
        <v>2</v>
      </c>
    </row>
    <row r="75" spans="1:18">
      <c r="A75" s="1" t="s">
        <v>11</v>
      </c>
      <c r="B75" s="1" t="s">
        <v>12</v>
      </c>
      <c r="C75" s="1" t="s">
        <v>16</v>
      </c>
      <c r="D75" s="1" t="s">
        <v>152</v>
      </c>
      <c r="E75" s="1" t="s">
        <v>36</v>
      </c>
      <c r="F75" s="1" t="str">
        <f>T_FY27[[#This Row],[Eng.]]&amp;T_FY27[[#This Row],[大カテゴリ]]&amp;T_FY27[[#This Row],[中カテゴリ]]&amp;T_FY27[[#This Row],[タスク名]]</f>
        <v>FFGITGCRFPRASa</v>
      </c>
      <c r="G75" s="9">
        <v>5</v>
      </c>
      <c r="H75" s="9"/>
      <c r="I75" s="8">
        <f>SUM(T_FY27[[#This Row],[恒久工数]:[一時工数]])</f>
        <v>5</v>
      </c>
      <c r="J75" s="8">
        <f>_xlfn.XLOOKUP(T_FY27[[#This Row],[(作業用)タスク結合名]],FY26工数!$F:$F,FY26工数!$I:$I,0)</f>
        <v>5</v>
      </c>
      <c r="K7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75" s="2" t="str">
        <f>IF(T_FY27[[#This Row],[FY27工数]]=T_FY27[[#This Row],[FY26工数]], "", T_FY27[[#This Row],[FY27工数]]-T_FY27[[#This Row],[FY26工数]])</f>
        <v/>
      </c>
      <c r="M75" s="11">
        <v>4</v>
      </c>
    </row>
    <row r="76" spans="1:18">
      <c r="A76" s="1" t="s">
        <v>11</v>
      </c>
      <c r="B76" s="1" t="s">
        <v>12</v>
      </c>
      <c r="C76" s="1" t="s">
        <v>13</v>
      </c>
      <c r="D76" s="1"/>
      <c r="E76" s="1" t="s">
        <v>37</v>
      </c>
      <c r="F76" s="1" t="str">
        <f>T_FY27[[#This Row],[Eng.]]&amp;T_FY27[[#This Row],[大カテゴリ]]&amp;T_FY27[[#This Row],[中カテゴリ]]&amp;T_FY27[[#This Row],[タスク名]]</f>
        <v>FFGITGCWTFFGクラウド(AWS) 束ね</v>
      </c>
      <c r="G76" s="9">
        <v>24</v>
      </c>
      <c r="H76" s="9"/>
      <c r="I76" s="8">
        <f>SUM(T_FY27[[#This Row],[恒久工数]:[一時工数]])</f>
        <v>24</v>
      </c>
      <c r="J76" s="8">
        <f>_xlfn.XLOOKUP(T_FY27[[#This Row],[(作業用)タスク結合名]],FY26工数!$F:$F,FY26工数!$I:$I,0)</f>
        <v>10</v>
      </c>
      <c r="K7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76" s="2">
        <f>IF(T_FY27[[#This Row],[FY27工数]]=T_FY27[[#This Row],[FY26工数]], "", T_FY27[[#This Row],[FY27工数]]-T_FY27[[#This Row],[FY26工数]])</f>
        <v>14</v>
      </c>
      <c r="M76" s="11">
        <v>9</v>
      </c>
      <c r="Q76" t="s">
        <v>203</v>
      </c>
    </row>
    <row r="77" spans="1:18">
      <c r="A77" s="1" t="s">
        <v>11</v>
      </c>
      <c r="B77" s="1" t="s">
        <v>12</v>
      </c>
      <c r="C77" s="1" t="s">
        <v>15</v>
      </c>
      <c r="D77" s="1"/>
      <c r="E77" s="1" t="s">
        <v>37</v>
      </c>
      <c r="F77" s="1" t="str">
        <f>T_FY27[[#This Row],[Eng.]]&amp;T_FY27[[#This Row],[大カテゴリ]]&amp;T_FY27[[#This Row],[中カテゴリ]]&amp;T_FY27[[#This Row],[タスク名]]</f>
        <v>FFGITGCTOCFFGクラウド(AWS) 束ね</v>
      </c>
      <c r="G77" s="9">
        <v>16</v>
      </c>
      <c r="H77" s="9"/>
      <c r="I77" s="8">
        <f>SUM(T_FY27[[#This Row],[恒久工数]:[一時工数]])</f>
        <v>16</v>
      </c>
      <c r="J77" s="8">
        <f>_xlfn.XLOOKUP(T_FY27[[#This Row],[(作業用)タスク結合名]],FY26工数!$F:$F,FY26工数!$I:$I,0)</f>
        <v>10</v>
      </c>
      <c r="K7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77" s="2">
        <f>IF(T_FY27[[#This Row],[FY27工数]]=T_FY27[[#This Row],[FY26工数]], "", T_FY27[[#This Row],[FY27工数]]-T_FY27[[#This Row],[FY26工数]])</f>
        <v>6</v>
      </c>
      <c r="M77" s="11">
        <v>2</v>
      </c>
      <c r="Q77" t="s">
        <v>203</v>
      </c>
    </row>
    <row r="78" spans="1:18">
      <c r="A78" s="1" t="s">
        <v>11</v>
      </c>
      <c r="B78" s="1" t="s">
        <v>12</v>
      </c>
      <c r="C78" s="1" t="s">
        <v>16</v>
      </c>
      <c r="D78" s="1"/>
      <c r="E78" s="1" t="s">
        <v>37</v>
      </c>
      <c r="F78" s="1" t="str">
        <f>T_FY27[[#This Row],[Eng.]]&amp;T_FY27[[#This Row],[大カテゴリ]]&amp;T_FY27[[#This Row],[中カテゴリ]]&amp;T_FY27[[#This Row],[タスク名]]</f>
        <v>FFGITGCRFFFGクラウド(AWS) 束ね</v>
      </c>
      <c r="G78" s="9">
        <v>16</v>
      </c>
      <c r="H78" s="9"/>
      <c r="I78" s="8">
        <f>SUM(T_FY27[[#This Row],[恒久工数]:[一時工数]])</f>
        <v>16</v>
      </c>
      <c r="J78" s="8">
        <f>_xlfn.XLOOKUP(T_FY27[[#This Row],[(作業用)タスク結合名]],FY26工数!$F:$F,FY26工数!$I:$I,0)</f>
        <v>5</v>
      </c>
      <c r="K7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78" s="2">
        <f>IF(T_FY27[[#This Row],[FY27工数]]=T_FY27[[#This Row],[FY26工数]], "", T_FY27[[#This Row],[FY27工数]]-T_FY27[[#This Row],[FY26工数]])</f>
        <v>11</v>
      </c>
      <c r="M78" s="11">
        <v>4</v>
      </c>
      <c r="Q78" t="s">
        <v>203</v>
      </c>
    </row>
    <row r="79" spans="1:18">
      <c r="A79" s="1" t="s">
        <v>11</v>
      </c>
      <c r="B79" s="1" t="s">
        <v>12</v>
      </c>
      <c r="C79" s="1" t="s">
        <v>182</v>
      </c>
      <c r="D79" s="1"/>
      <c r="E79" s="1" t="s">
        <v>183</v>
      </c>
      <c r="F79" s="1" t="str">
        <f>T_FY27[[#This Row],[Eng.]]&amp;T_FY27[[#This Row],[大カテゴリ]]&amp;T_FY27[[#This Row],[中カテゴリ]]&amp;T_FY27[[#This Row],[タスク名]]</f>
        <v>FFGITGCWT(旧) 人事情報システム(MC, MA, MO)</v>
      </c>
      <c r="G79" s="9"/>
      <c r="H79" s="9">
        <v>32</v>
      </c>
      <c r="I79" s="8">
        <f>SUM(T_FY27[[#This Row],[恒久工数]:[一時工数]])</f>
        <v>32</v>
      </c>
      <c r="J79" s="8">
        <f>_xlfn.XLOOKUP(T_FY27[[#This Row],[(作業用)タスク結合名]],FY26工数!$F:$F,FY26工数!$I:$I,0)</f>
        <v>0</v>
      </c>
      <c r="K7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79" s="2">
        <f>IF(T_FY27[[#This Row],[FY27工数]]=T_FY27[[#This Row],[FY26工数]], "", T_FY27[[#This Row],[FY27工数]]-T_FY27[[#This Row],[FY26工数]])</f>
        <v>32</v>
      </c>
      <c r="M79" s="11">
        <v>8</v>
      </c>
      <c r="Q79" t="s">
        <v>178</v>
      </c>
      <c r="R79" t="s">
        <v>184</v>
      </c>
    </row>
    <row r="80" spans="1:18">
      <c r="A80" s="1" t="s">
        <v>11</v>
      </c>
      <c r="B80" s="1" t="s">
        <v>12</v>
      </c>
      <c r="C80" s="1" t="s">
        <v>182</v>
      </c>
      <c r="D80" s="1"/>
      <c r="E80" s="1" t="s">
        <v>195</v>
      </c>
      <c r="F80" s="20" t="str">
        <f>T_FY27[[#This Row],[Eng.]]&amp;T_FY27[[#This Row],[大カテゴリ]]&amp;T_FY27[[#This Row],[中カテゴリ]]&amp;T_FY27[[#This Row],[タスク名]]</f>
        <v>FFGITGCWT(新)人事情報システム(相補的)</v>
      </c>
      <c r="G80" s="9">
        <v>9</v>
      </c>
      <c r="H80" s="9">
        <v>9</v>
      </c>
      <c r="I80" s="8">
        <f>SUM(T_FY27[[#This Row],[恒久工数]:[一時工数]])</f>
        <v>18</v>
      </c>
      <c r="J80" s="8">
        <f>_xlfn.XLOOKUP(T_FY27[[#This Row],[(作業用)タスク結合名]],FY26工数!$F:$F,FY26工数!$I:$I,0)</f>
        <v>0</v>
      </c>
      <c r="K8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0" s="2">
        <f>IF(T_FY27[[#This Row],[FY27工数]]=T_FY27[[#This Row],[FY26工数]], "", T_FY27[[#This Row],[FY27工数]]-T_FY27[[#This Row],[FY26工数]])</f>
        <v>18</v>
      </c>
      <c r="M80" s="11">
        <v>9</v>
      </c>
      <c r="Q80" t="s">
        <v>178</v>
      </c>
      <c r="R80" t="s">
        <v>188</v>
      </c>
    </row>
    <row r="81" spans="1:18">
      <c r="A81" s="1" t="s">
        <v>11</v>
      </c>
      <c r="B81" s="1" t="s">
        <v>12</v>
      </c>
      <c r="C81" s="1" t="s">
        <v>186</v>
      </c>
      <c r="D81" s="1"/>
      <c r="E81" s="1" t="s">
        <v>195</v>
      </c>
      <c r="F81" s="20" t="str">
        <f>T_FY27[[#This Row],[Eng.]]&amp;T_FY27[[#This Row],[大カテゴリ]]&amp;T_FY27[[#This Row],[中カテゴリ]]&amp;T_FY27[[#This Row],[タスク名]]</f>
        <v>FFGITGCTOC(新)人事情報システム(相補的)</v>
      </c>
      <c r="G81" s="9">
        <v>9</v>
      </c>
      <c r="H81" s="9">
        <v>9</v>
      </c>
      <c r="I81" s="8">
        <f>SUM(T_FY27[[#This Row],[恒久工数]:[一時工数]])</f>
        <v>18</v>
      </c>
      <c r="J81" s="8">
        <f>_xlfn.XLOOKUP(T_FY27[[#This Row],[(作業用)タスク結合名]],FY26工数!$F:$F,FY26工数!$I:$I,0)</f>
        <v>0</v>
      </c>
      <c r="K8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1" s="2">
        <f>IF(T_FY27[[#This Row],[FY27工数]]=T_FY27[[#This Row],[FY26工数]], "", T_FY27[[#This Row],[FY27工数]]-T_FY27[[#This Row],[FY26工数]])</f>
        <v>18</v>
      </c>
      <c r="M81" s="11">
        <v>2</v>
      </c>
      <c r="Q81" t="s">
        <v>178</v>
      </c>
      <c r="R81" t="s">
        <v>189</v>
      </c>
    </row>
    <row r="82" spans="1:18">
      <c r="A82" s="1" t="s">
        <v>11</v>
      </c>
      <c r="B82" s="1" t="s">
        <v>12</v>
      </c>
      <c r="C82" s="1" t="s">
        <v>187</v>
      </c>
      <c r="D82" s="1"/>
      <c r="E82" s="1" t="s">
        <v>195</v>
      </c>
      <c r="F82" s="20" t="str">
        <f>T_FY27[[#This Row],[Eng.]]&amp;T_FY27[[#This Row],[大カテゴリ]]&amp;T_FY27[[#This Row],[中カテゴリ]]&amp;T_FY27[[#This Row],[タスク名]]</f>
        <v>FFGITGCRF(新)人事情報システム(相補的)</v>
      </c>
      <c r="G82" s="9">
        <v>4</v>
      </c>
      <c r="H82" s="9">
        <v>4</v>
      </c>
      <c r="I82" s="8">
        <f>SUM(T_FY27[[#This Row],[恒久工数]:[一時工数]])</f>
        <v>8</v>
      </c>
      <c r="J82" s="8">
        <f>_xlfn.XLOOKUP(T_FY27[[#This Row],[(作業用)タスク結合名]],FY26工数!$F:$F,FY26工数!$I:$I,0)</f>
        <v>0</v>
      </c>
      <c r="K8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2" s="2">
        <f>IF(T_FY27[[#This Row],[FY27工数]]=T_FY27[[#This Row],[FY26工数]], "", T_FY27[[#This Row],[FY27工数]]-T_FY27[[#This Row],[FY26工数]])</f>
        <v>8</v>
      </c>
      <c r="M82" s="11">
        <v>4</v>
      </c>
      <c r="Q82" t="s">
        <v>178</v>
      </c>
      <c r="R82" t="s">
        <v>190</v>
      </c>
    </row>
    <row r="83" spans="1:18">
      <c r="A83" s="1" t="s">
        <v>11</v>
      </c>
      <c r="B83" s="1" t="s">
        <v>12</v>
      </c>
      <c r="C83" s="1" t="s">
        <v>182</v>
      </c>
      <c r="D83" s="1"/>
      <c r="E83" s="1" t="s">
        <v>192</v>
      </c>
      <c r="F83" s="20" t="str">
        <f>T_FY27[[#This Row],[Eng.]]&amp;T_FY27[[#This Row],[大カテゴリ]]&amp;T_FY27[[#This Row],[中カテゴリ]]&amp;T_FY27[[#This Row],[タスク名]]</f>
        <v>FFGITGCWT(新)人事情報システム(MA)</v>
      </c>
      <c r="G83" s="9">
        <v>9</v>
      </c>
      <c r="H83" s="9">
        <v>9</v>
      </c>
      <c r="I83" s="8">
        <f>SUM(T_FY27[[#This Row],[恒久工数]:[一時工数]])</f>
        <v>18</v>
      </c>
      <c r="J83" s="8">
        <f>_xlfn.XLOOKUP(T_FY27[[#This Row],[(作業用)タスク結合名]],FY26工数!$F:$F,FY26工数!$I:$I,0)</f>
        <v>0</v>
      </c>
      <c r="K8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3" s="2">
        <f>IF(T_FY27[[#This Row],[FY27工数]]=T_FY27[[#This Row],[FY26工数]], "", T_FY27[[#This Row],[FY27工数]]-T_FY27[[#This Row],[FY26工数]])</f>
        <v>18</v>
      </c>
      <c r="M83" s="11">
        <v>9</v>
      </c>
      <c r="Q83" t="s">
        <v>178</v>
      </c>
      <c r="R83" t="s">
        <v>188</v>
      </c>
    </row>
    <row r="84" spans="1:18">
      <c r="A84" s="1" t="s">
        <v>11</v>
      </c>
      <c r="B84" s="1" t="s">
        <v>12</v>
      </c>
      <c r="C84" s="1" t="s">
        <v>186</v>
      </c>
      <c r="D84" s="1"/>
      <c r="E84" s="1" t="s">
        <v>192</v>
      </c>
      <c r="F84" s="20" t="str">
        <f>T_FY27[[#This Row],[Eng.]]&amp;T_FY27[[#This Row],[大カテゴリ]]&amp;T_FY27[[#This Row],[中カテゴリ]]&amp;T_FY27[[#This Row],[タスク名]]</f>
        <v>FFGITGCTOC(新)人事情報システム(MA)</v>
      </c>
      <c r="G84" s="9">
        <v>9</v>
      </c>
      <c r="H84" s="9">
        <v>9</v>
      </c>
      <c r="I84" s="8">
        <f>SUM(T_FY27[[#This Row],[恒久工数]:[一時工数]])</f>
        <v>18</v>
      </c>
      <c r="J84" s="8">
        <f>_xlfn.XLOOKUP(T_FY27[[#This Row],[(作業用)タスク結合名]],FY26工数!$F:$F,FY26工数!$I:$I,0)</f>
        <v>0</v>
      </c>
      <c r="K8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4" s="2">
        <f>IF(T_FY27[[#This Row],[FY27工数]]=T_FY27[[#This Row],[FY26工数]], "", T_FY27[[#This Row],[FY27工数]]-T_FY27[[#This Row],[FY26工数]])</f>
        <v>18</v>
      </c>
      <c r="M84" s="11">
        <v>2</v>
      </c>
      <c r="Q84" t="s">
        <v>178</v>
      </c>
      <c r="R84" t="s">
        <v>189</v>
      </c>
    </row>
    <row r="85" spans="1:18">
      <c r="A85" s="1" t="s">
        <v>11</v>
      </c>
      <c r="B85" s="1" t="s">
        <v>12</v>
      </c>
      <c r="C85" s="1" t="s">
        <v>187</v>
      </c>
      <c r="D85" s="1"/>
      <c r="E85" s="1" t="s">
        <v>192</v>
      </c>
      <c r="F85" s="20" t="str">
        <f>T_FY27[[#This Row],[Eng.]]&amp;T_FY27[[#This Row],[大カテゴリ]]&amp;T_FY27[[#This Row],[中カテゴリ]]&amp;T_FY27[[#This Row],[タスク名]]</f>
        <v>FFGITGCRF(新)人事情報システム(MA)</v>
      </c>
      <c r="G85" s="9">
        <v>4</v>
      </c>
      <c r="H85" s="9">
        <v>4</v>
      </c>
      <c r="I85" s="8">
        <f>SUM(T_FY27[[#This Row],[恒久工数]:[一時工数]])</f>
        <v>8</v>
      </c>
      <c r="J85" s="8">
        <f>_xlfn.XLOOKUP(T_FY27[[#This Row],[(作業用)タスク結合名]],FY26工数!$F:$F,FY26工数!$I:$I,0)</f>
        <v>0</v>
      </c>
      <c r="K8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5" s="2">
        <f>IF(T_FY27[[#This Row],[FY27工数]]=T_FY27[[#This Row],[FY26工数]], "", T_FY27[[#This Row],[FY27工数]]-T_FY27[[#This Row],[FY26工数]])</f>
        <v>8</v>
      </c>
      <c r="M85" s="11">
        <v>4</v>
      </c>
      <c r="Q85" t="s">
        <v>178</v>
      </c>
    </row>
    <row r="86" spans="1:18">
      <c r="A86" s="1" t="s">
        <v>11</v>
      </c>
      <c r="B86" s="1" t="s">
        <v>12</v>
      </c>
      <c r="C86" s="1" t="s">
        <v>182</v>
      </c>
      <c r="D86" s="1"/>
      <c r="E86" s="1" t="s">
        <v>191</v>
      </c>
      <c r="F86" s="20" t="str">
        <f>T_FY27[[#This Row],[Eng.]]&amp;T_FY27[[#This Row],[大カテゴリ]]&amp;T_FY27[[#This Row],[中カテゴリ]]&amp;T_FY27[[#This Row],[タスク名]]</f>
        <v>FFGITGCWT(新)人事情報システム(SOC)</v>
      </c>
      <c r="G86" s="9">
        <v>1</v>
      </c>
      <c r="H86" s="9">
        <v>9</v>
      </c>
      <c r="I86" s="8">
        <f>SUM(T_FY27[[#This Row],[恒久工数]:[一時工数]])</f>
        <v>10</v>
      </c>
      <c r="J86" s="8">
        <f>_xlfn.XLOOKUP(T_FY27[[#This Row],[(作業用)タスク結合名]],FY26工数!$F:$F,FY26工数!$I:$I,0)</f>
        <v>0</v>
      </c>
      <c r="K8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6" s="2">
        <f>IF(T_FY27[[#This Row],[FY27工数]]=T_FY27[[#This Row],[FY26工数]], "", T_FY27[[#This Row],[FY27工数]]-T_FY27[[#This Row],[FY26工数]])</f>
        <v>10</v>
      </c>
      <c r="M86" s="11">
        <v>10</v>
      </c>
      <c r="Q86" t="s">
        <v>178</v>
      </c>
      <c r="R86" t="s">
        <v>194</v>
      </c>
    </row>
    <row r="87" spans="1:18">
      <c r="A87" s="1" t="s">
        <v>11</v>
      </c>
      <c r="B87" s="1" t="s">
        <v>12</v>
      </c>
      <c r="C87" s="1" t="s">
        <v>187</v>
      </c>
      <c r="D87" s="1"/>
      <c r="E87" s="1" t="s">
        <v>191</v>
      </c>
      <c r="F87" s="20" t="str">
        <f>T_FY27[[#This Row],[Eng.]]&amp;T_FY27[[#This Row],[大カテゴリ]]&amp;T_FY27[[#This Row],[中カテゴリ]]&amp;T_FY27[[#This Row],[タスク名]]</f>
        <v>FFGITGCRF(新)人事情報システム(SOC)</v>
      </c>
      <c r="G87" s="9">
        <v>9</v>
      </c>
      <c r="H87" s="9">
        <v>2</v>
      </c>
      <c r="I87" s="8">
        <f>SUM(T_FY27[[#This Row],[恒久工数]:[一時工数]])</f>
        <v>11</v>
      </c>
      <c r="J87" s="8">
        <f>_xlfn.XLOOKUP(T_FY27[[#This Row],[(作業用)タスク結合名]],FY26工数!$F:$F,FY26工数!$I:$I,0)</f>
        <v>0</v>
      </c>
      <c r="K8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7" s="2">
        <f>IF(T_FY27[[#This Row],[FY27工数]]=T_FY27[[#This Row],[FY26工数]], "", T_FY27[[#This Row],[FY27工数]]-T_FY27[[#This Row],[FY26工数]])</f>
        <v>11</v>
      </c>
      <c r="M87" s="11">
        <v>4</v>
      </c>
      <c r="Q87" t="s">
        <v>178</v>
      </c>
      <c r="R87" t="s">
        <v>193</v>
      </c>
    </row>
    <row r="88" spans="1:18">
      <c r="A88" s="1" t="s">
        <v>11</v>
      </c>
      <c r="B88" s="1" t="s">
        <v>12</v>
      </c>
      <c r="C88" s="1" t="s">
        <v>38</v>
      </c>
      <c r="D88" s="1"/>
      <c r="E88" s="12" t="s">
        <v>212</v>
      </c>
      <c r="F88" s="1" t="str">
        <f>T_FY27[[#This Row],[Eng.]]&amp;T_FY27[[#This Row],[大カテゴリ]]&amp;T_FY27[[#This Row],[中カテゴリ]]&amp;T_FY27[[#This Row],[タスク名]]</f>
        <v>FFGITGC移行勘定系移行評価(基盤)9月</v>
      </c>
      <c r="G88" s="9">
        <v>0</v>
      </c>
      <c r="H88" s="9">
        <v>33</v>
      </c>
      <c r="I88" s="8">
        <f>SUM(T_FY27[[#This Row],[恒久工数]:[一時工数]])</f>
        <v>33</v>
      </c>
      <c r="J88" s="8">
        <f>_xlfn.XLOOKUP(T_FY27[[#This Row],[(作業用)タスク結合名]],FY26工数!$F:$F,FY26工数!$I:$I,0)</f>
        <v>0</v>
      </c>
      <c r="K8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8" s="2">
        <f>IF(T_FY27[[#This Row],[FY27工数]]=T_FY27[[#This Row],[FY26工数]], "", T_FY27[[#This Row],[FY27工数]]-T_FY27[[#This Row],[FY26工数]])</f>
        <v>33</v>
      </c>
      <c r="M88" s="11">
        <v>11</v>
      </c>
      <c r="Q88" t="s">
        <v>214</v>
      </c>
      <c r="R88" t="s">
        <v>216</v>
      </c>
    </row>
    <row r="89" spans="1:18">
      <c r="A89" s="1" t="s">
        <v>11</v>
      </c>
      <c r="B89" s="1" t="s">
        <v>12</v>
      </c>
      <c r="C89" s="1" t="s">
        <v>38</v>
      </c>
      <c r="D89" s="1"/>
      <c r="E89" s="12" t="s">
        <v>213</v>
      </c>
      <c r="F89" s="1" t="str">
        <f>T_FY27[[#This Row],[Eng.]]&amp;T_FY27[[#This Row],[大カテゴリ]]&amp;T_FY27[[#This Row],[中カテゴリ]]&amp;T_FY27[[#This Row],[タスク名]]</f>
        <v>FFGITGC移行勘定系移行評価(基盤)1月</v>
      </c>
      <c r="G89" s="9">
        <v>0</v>
      </c>
      <c r="H89" s="9">
        <v>19</v>
      </c>
      <c r="I89" s="8">
        <f>SUM(T_FY27[[#This Row],[恒久工数]:[一時工数]])</f>
        <v>19</v>
      </c>
      <c r="J89" s="8">
        <f>_xlfn.XLOOKUP(T_FY27[[#This Row],[(作業用)タスク結合名]],FY26工数!$F:$F,FY26工数!$I:$I,0)</f>
        <v>0</v>
      </c>
      <c r="K8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89" s="2">
        <f>IF(T_FY27[[#This Row],[FY27工数]]=T_FY27[[#This Row],[FY26工数]], "", T_FY27[[#This Row],[FY27工数]]-T_FY27[[#This Row],[FY26工数]])</f>
        <v>19</v>
      </c>
      <c r="M89" s="11">
        <v>3</v>
      </c>
      <c r="Q89" t="s">
        <v>215</v>
      </c>
      <c r="R89" t="s">
        <v>217</v>
      </c>
    </row>
    <row r="90" spans="1:18">
      <c r="A90" s="1" t="s">
        <v>11</v>
      </c>
      <c r="B90" s="1" t="s">
        <v>12</v>
      </c>
      <c r="C90" s="1" t="s">
        <v>38</v>
      </c>
      <c r="D90" s="1"/>
      <c r="E90" s="1" t="s">
        <v>39</v>
      </c>
      <c r="F90" s="1" t="str">
        <f>T_FY27[[#This Row],[Eng.]]&amp;T_FY27[[#This Row],[大カテゴリ]]&amp;T_FY27[[#This Row],[中カテゴリ]]&amp;T_FY27[[#This Row],[タスク名]]</f>
        <v>FFGITGC移行国際勘定系移行評価(基盤)</v>
      </c>
      <c r="G90" s="9">
        <v>0</v>
      </c>
      <c r="H90" s="9"/>
      <c r="I90" s="8">
        <f>SUM(T_FY27[[#This Row],[恒久工数]:[一時工数]])</f>
        <v>0</v>
      </c>
      <c r="J90" s="8">
        <f>_xlfn.XLOOKUP(T_FY27[[#This Row],[(作業用)タスク結合名]],FY26工数!$F:$F,FY26工数!$I:$I,0)</f>
        <v>33</v>
      </c>
      <c r="K9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90" s="2">
        <f>IF(T_FY27[[#This Row],[FY27工数]]=T_FY27[[#This Row],[FY26工数]], "", T_FY27[[#This Row],[FY27工数]]-T_FY27[[#This Row],[FY26工数]])</f>
        <v>-33</v>
      </c>
      <c r="M90" s="11">
        <v>9</v>
      </c>
      <c r="Q90" t="s">
        <v>179</v>
      </c>
    </row>
    <row r="91" spans="1:18">
      <c r="A91" s="1" t="s">
        <v>11</v>
      </c>
      <c r="B91" s="1" t="s">
        <v>12</v>
      </c>
      <c r="C91" s="1" t="s">
        <v>38</v>
      </c>
      <c r="D91" s="1"/>
      <c r="E91" s="1" t="s">
        <v>40</v>
      </c>
      <c r="F91" s="1" t="str">
        <f>T_FY27[[#This Row],[Eng.]]&amp;T_FY27[[#This Row],[大カテゴリ]]&amp;T_FY27[[#This Row],[中カテゴリ]]&amp;T_FY27[[#This Row],[タスク名]]</f>
        <v>FFGITGC移行ローン自動審査移行評価(基盤)</v>
      </c>
      <c r="G91" s="9">
        <v>0</v>
      </c>
      <c r="H91" s="9"/>
      <c r="I91" s="8">
        <f>SUM(T_FY27[[#This Row],[恒久工数]:[一時工数]])</f>
        <v>0</v>
      </c>
      <c r="J91" s="8">
        <f>_xlfn.XLOOKUP(T_FY27[[#This Row],[(作業用)タスク結合名]],FY26工数!$F:$F,FY26工数!$I:$I,0)</f>
        <v>33</v>
      </c>
      <c r="K9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91" s="2">
        <f>IF(T_FY27[[#This Row],[FY27工数]]=T_FY27[[#This Row],[FY26工数]], "", T_FY27[[#This Row],[FY27工数]]-T_FY27[[#This Row],[FY26工数]])</f>
        <v>-33</v>
      </c>
      <c r="M91" s="11">
        <v>3</v>
      </c>
      <c r="Q91" t="s">
        <v>179</v>
      </c>
    </row>
    <row r="92" spans="1:18">
      <c r="A92" s="1" t="s">
        <v>11</v>
      </c>
      <c r="B92" s="1" t="s">
        <v>12</v>
      </c>
      <c r="C92" s="1" t="s">
        <v>38</v>
      </c>
      <c r="D92" s="1"/>
      <c r="E92" s="12" t="s">
        <v>177</v>
      </c>
      <c r="F92" s="1" t="str">
        <f>T_FY27[[#This Row],[Eng.]]&amp;T_FY27[[#This Row],[大カテゴリ]]&amp;T_FY27[[#This Row],[中カテゴリ]]&amp;T_FY27[[#This Row],[タスク名]]</f>
        <v>FFGITGC移行人事情報システム移行評価(クラウド基盤)</v>
      </c>
      <c r="G92" s="9">
        <v>0</v>
      </c>
      <c r="H92" s="9">
        <v>33</v>
      </c>
      <c r="I92" s="8">
        <f>SUM(T_FY27[[#This Row],[恒久工数]:[一時工数]])</f>
        <v>33</v>
      </c>
      <c r="J92" s="8">
        <f>_xlfn.XLOOKUP(T_FY27[[#This Row],[(作業用)タスク結合名]],FY26工数!$F:$F,FY26工数!$I:$I,0)</f>
        <v>0</v>
      </c>
      <c r="K9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92" s="2">
        <f>IF(T_FY27[[#This Row],[FY27工数]]=T_FY27[[#This Row],[FY26工数]], "", T_FY27[[#This Row],[FY27工数]]-T_FY27[[#This Row],[FY26工数]])</f>
        <v>33</v>
      </c>
      <c r="M92" s="11">
        <v>9</v>
      </c>
      <c r="Q92" t="s">
        <v>178</v>
      </c>
    </row>
    <row r="93" spans="1:18">
      <c r="A93" s="1" t="s">
        <v>11</v>
      </c>
      <c r="B93" s="1" t="s">
        <v>12</v>
      </c>
      <c r="C93" s="1" t="s">
        <v>38</v>
      </c>
      <c r="D93" s="1"/>
      <c r="E93" s="1" t="s">
        <v>41</v>
      </c>
      <c r="F93" s="1" t="str">
        <f>T_FY27[[#This Row],[Eng.]]&amp;T_FY27[[#This Row],[大カテゴリ]]&amp;T_FY27[[#This Row],[中カテゴリ]]&amp;T_FY27[[#This Row],[タスク名]]</f>
        <v>FFGITGC移行資金証券(Siatol~NE, FM)移行評価</v>
      </c>
      <c r="G93" s="9">
        <v>0</v>
      </c>
      <c r="H93" s="9"/>
      <c r="I93" s="8">
        <f>SUM(T_FY27[[#This Row],[恒久工数]:[一時工数]])</f>
        <v>0</v>
      </c>
      <c r="J93" s="8">
        <f>_xlfn.XLOOKUP(T_FY27[[#This Row],[(作業用)タスク結合名]],FY26工数!$F:$F,FY26工数!$I:$I,0)</f>
        <v>26</v>
      </c>
      <c r="K9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93" s="2">
        <f>IF(T_FY27[[#This Row],[FY27工数]]=T_FY27[[#This Row],[FY26工数]], "", T_FY27[[#This Row],[FY27工数]]-T_FY27[[#This Row],[FY26工数]])</f>
        <v>-26</v>
      </c>
      <c r="M93" s="11">
        <v>2</v>
      </c>
      <c r="Q93" t="s">
        <v>179</v>
      </c>
    </row>
    <row r="94" spans="1:18">
      <c r="A94" s="1" t="s">
        <v>11</v>
      </c>
      <c r="B94" s="1" t="s">
        <v>12</v>
      </c>
      <c r="C94" s="1" t="s">
        <v>13</v>
      </c>
      <c r="D94" s="1"/>
      <c r="E94" s="1" t="s">
        <v>42</v>
      </c>
      <c r="F94" s="1" t="str">
        <f>T_FY27[[#This Row],[Eng.]]&amp;T_FY27[[#This Row],[大カテゴリ]]&amp;T_FY27[[#This Row],[中カテゴリ]]&amp;T_FY27[[#This Row],[タスク名]]</f>
        <v>FFGITGCWT資金証券(Siatol~NE, FM)新プロセス評価</v>
      </c>
      <c r="G94" s="9">
        <v>0</v>
      </c>
      <c r="H94" s="9"/>
      <c r="I94" s="8">
        <f>SUM(T_FY27[[#This Row],[恒久工数]:[一時工数]])</f>
        <v>0</v>
      </c>
      <c r="J94" s="8">
        <f>_xlfn.XLOOKUP(T_FY27[[#This Row],[(作業用)タスク結合名]],FY26工数!$F:$F,FY26工数!$I:$I,0)</f>
        <v>20</v>
      </c>
      <c r="K9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94" s="2">
        <f>IF(T_FY27[[#This Row],[FY27工数]]=T_FY27[[#This Row],[FY26工数]], "", T_FY27[[#This Row],[FY27工数]]-T_FY27[[#This Row],[FY26工数]])</f>
        <v>-20</v>
      </c>
      <c r="M94" s="11">
        <v>2</v>
      </c>
      <c r="Q94" t="s">
        <v>180</v>
      </c>
    </row>
    <row r="95" spans="1:18">
      <c r="A95" s="1" t="s">
        <v>11</v>
      </c>
      <c r="B95" s="1" t="s">
        <v>12</v>
      </c>
      <c r="C95" s="1" t="s">
        <v>15</v>
      </c>
      <c r="D95" s="1"/>
      <c r="E95" s="1" t="s">
        <v>42</v>
      </c>
      <c r="F95" s="1" t="str">
        <f>T_FY27[[#This Row],[Eng.]]&amp;T_FY27[[#This Row],[大カテゴリ]]&amp;T_FY27[[#This Row],[中カテゴリ]]&amp;T_FY27[[#This Row],[タスク名]]</f>
        <v>FFGITGCTOC資金証券(Siatol~NE, FM)新プロセス評価</v>
      </c>
      <c r="G95" s="9">
        <v>0</v>
      </c>
      <c r="H95" s="9"/>
      <c r="I95" s="8">
        <f>SUM(T_FY27[[#This Row],[恒久工数]:[一時工数]])</f>
        <v>0</v>
      </c>
      <c r="J95" s="8">
        <f>_xlfn.XLOOKUP(T_FY27[[#This Row],[(作業用)タスク結合名]],FY26工数!$F:$F,FY26工数!$I:$I,0)</f>
        <v>14</v>
      </c>
      <c r="K9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95" s="2">
        <f>IF(T_FY27[[#This Row],[FY27工数]]=T_FY27[[#This Row],[FY26工数]], "", T_FY27[[#This Row],[FY27工数]]-T_FY27[[#This Row],[FY26工数]])</f>
        <v>-14</v>
      </c>
      <c r="M95" s="11">
        <v>2</v>
      </c>
      <c r="Q95" t="s">
        <v>180</v>
      </c>
    </row>
    <row r="96" spans="1:18">
      <c r="A96" s="1" t="s">
        <v>11</v>
      </c>
      <c r="B96" s="1" t="s">
        <v>12</v>
      </c>
      <c r="C96" s="1" t="s">
        <v>16</v>
      </c>
      <c r="D96" s="1"/>
      <c r="E96" s="1" t="s">
        <v>42</v>
      </c>
      <c r="F96" s="1" t="str">
        <f>T_FY27[[#This Row],[Eng.]]&amp;T_FY27[[#This Row],[大カテゴリ]]&amp;T_FY27[[#This Row],[中カテゴリ]]&amp;T_FY27[[#This Row],[タスク名]]</f>
        <v>FFGITGCRF資金証券(Siatol~NE, FM)新プロセス評価</v>
      </c>
      <c r="G96" s="9">
        <v>0</v>
      </c>
      <c r="H96" s="9"/>
      <c r="I96" s="8">
        <f>SUM(T_FY27[[#This Row],[恒久工数]:[一時工数]])</f>
        <v>0</v>
      </c>
      <c r="J96" s="8">
        <f>_xlfn.XLOOKUP(T_FY27[[#This Row],[(作業用)タスク結合名]],FY26工数!$F:$F,FY26工数!$I:$I,0)</f>
        <v>5</v>
      </c>
      <c r="K9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96" s="2">
        <f>IF(T_FY27[[#This Row],[FY27工数]]=T_FY27[[#This Row],[FY26工数]], "", T_FY27[[#This Row],[FY27工数]]-T_FY27[[#This Row],[FY26工数]])</f>
        <v>-5</v>
      </c>
      <c r="M96" s="11">
        <v>2</v>
      </c>
      <c r="Q96" t="s">
        <v>180</v>
      </c>
    </row>
    <row r="97" spans="1:17">
      <c r="A97" s="1" t="s">
        <v>11</v>
      </c>
      <c r="B97" s="1" t="s">
        <v>12</v>
      </c>
      <c r="C97" s="1" t="s">
        <v>13</v>
      </c>
      <c r="D97" s="1" t="s">
        <v>166</v>
      </c>
      <c r="E97" s="1" t="s">
        <v>43</v>
      </c>
      <c r="F97" s="1" t="str">
        <f>T_FY27[[#This Row],[Eng.]]&amp;T_FY27[[#This Row],[大カテゴリ]]&amp;T_FY27[[#This Row],[中カテゴリ]]&amp;T_FY27[[#This Row],[タスク名]]</f>
        <v>FFGITGCWT特権ID管理システム(iOperation)</v>
      </c>
      <c r="G97" s="9">
        <v>17</v>
      </c>
      <c r="H97" s="9"/>
      <c r="I97" s="8">
        <f>SUM(T_FY27[[#This Row],[恒久工数]:[一時工数]])</f>
        <v>17</v>
      </c>
      <c r="J97" s="8">
        <f>_xlfn.XLOOKUP(T_FY27[[#This Row],[(作業用)タスク結合名]],FY26工数!$F:$F,FY26工数!$I:$I,0)</f>
        <v>0</v>
      </c>
      <c r="K9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97" s="2">
        <f>IF(T_FY27[[#This Row],[FY27工数]]=T_FY27[[#This Row],[FY26工数]], "", T_FY27[[#This Row],[FY27工数]]-T_FY27[[#This Row],[FY26工数]])</f>
        <v>17</v>
      </c>
      <c r="M97" s="11">
        <v>9</v>
      </c>
      <c r="Q97" t="s">
        <v>181</v>
      </c>
    </row>
    <row r="98" spans="1:17">
      <c r="A98" s="1" t="s">
        <v>11</v>
      </c>
      <c r="B98" s="1" t="s">
        <v>12</v>
      </c>
      <c r="C98" s="1" t="s">
        <v>15</v>
      </c>
      <c r="D98" s="1" t="s">
        <v>166</v>
      </c>
      <c r="E98" s="1" t="s">
        <v>43</v>
      </c>
      <c r="F98" s="1" t="str">
        <f>T_FY27[[#This Row],[Eng.]]&amp;T_FY27[[#This Row],[大カテゴリ]]&amp;T_FY27[[#This Row],[中カテゴリ]]&amp;T_FY27[[#This Row],[タスク名]]</f>
        <v>FFGITGCTOC特権ID管理システム(iOperation)</v>
      </c>
      <c r="G98" s="9">
        <v>17</v>
      </c>
      <c r="H98" s="9"/>
      <c r="I98" s="8">
        <f>SUM(T_FY27[[#This Row],[恒久工数]:[一時工数]])</f>
        <v>17</v>
      </c>
      <c r="J98" s="8">
        <f>_xlfn.XLOOKUP(T_FY27[[#This Row],[(作業用)タスク結合名]],FY26工数!$F:$F,FY26工数!$I:$I,0)</f>
        <v>0</v>
      </c>
      <c r="K9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98" s="2">
        <f>IF(T_FY27[[#This Row],[FY27工数]]=T_FY27[[#This Row],[FY26工数]], "", T_FY27[[#This Row],[FY27工数]]-T_FY27[[#This Row],[FY26工数]])</f>
        <v>17</v>
      </c>
      <c r="M98" s="11">
        <v>2</v>
      </c>
      <c r="Q98" t="s">
        <v>181</v>
      </c>
    </row>
    <row r="99" spans="1:17">
      <c r="A99" s="1" t="s">
        <v>11</v>
      </c>
      <c r="B99" s="1" t="s">
        <v>12</v>
      </c>
      <c r="C99" s="1" t="s">
        <v>16</v>
      </c>
      <c r="D99" s="1" t="s">
        <v>166</v>
      </c>
      <c r="E99" s="1" t="s">
        <v>43</v>
      </c>
      <c r="F99" s="1" t="str">
        <f>T_FY27[[#This Row],[Eng.]]&amp;T_FY27[[#This Row],[大カテゴリ]]&amp;T_FY27[[#This Row],[中カテゴリ]]&amp;T_FY27[[#This Row],[タスク名]]</f>
        <v>FFGITGCRF特権ID管理システム(iOperation)</v>
      </c>
      <c r="G99" s="9">
        <v>5</v>
      </c>
      <c r="H99" s="9"/>
      <c r="I99" s="8">
        <f>SUM(T_FY27[[#This Row],[恒久工数]:[一時工数]])</f>
        <v>5</v>
      </c>
      <c r="J99" s="8">
        <f>_xlfn.XLOOKUP(T_FY27[[#This Row],[(作業用)タスク結合名]],FY26工数!$F:$F,FY26工数!$I:$I,0)</f>
        <v>0</v>
      </c>
      <c r="K9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99" s="2">
        <f>IF(T_FY27[[#This Row],[FY27工数]]=T_FY27[[#This Row],[FY26工数]], "", T_FY27[[#This Row],[FY27工数]]-T_FY27[[#This Row],[FY26工数]])</f>
        <v>5</v>
      </c>
      <c r="M99" s="11">
        <v>4</v>
      </c>
      <c r="Q99" t="s">
        <v>181</v>
      </c>
    </row>
    <row r="100" spans="1:17">
      <c r="A100" s="1" t="s">
        <v>11</v>
      </c>
      <c r="B100" s="1" t="s">
        <v>12</v>
      </c>
      <c r="C100" s="1" t="s">
        <v>13</v>
      </c>
      <c r="D100" s="1" t="s">
        <v>166</v>
      </c>
      <c r="E100" s="1" t="s">
        <v>44</v>
      </c>
      <c r="F100" s="1" t="str">
        <f>T_FY27[[#This Row],[Eng.]]&amp;T_FY27[[#This Row],[大カテゴリ]]&amp;T_FY27[[#This Row],[中カテゴリ]]&amp;T_FY27[[#This Row],[タスク名]]</f>
        <v>FFGITGCWT特権ID管理システム(AccessCheck)</v>
      </c>
      <c r="G100" s="9">
        <v>17</v>
      </c>
      <c r="H100" s="9"/>
      <c r="I100" s="8">
        <f>SUM(T_FY27[[#This Row],[恒久工数]:[一時工数]])</f>
        <v>17</v>
      </c>
      <c r="J100" s="8">
        <f>_xlfn.XLOOKUP(T_FY27[[#This Row],[(作業用)タスク結合名]],FY26工数!$F:$F,FY26工数!$I:$I,0)</f>
        <v>0</v>
      </c>
      <c r="K10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100" s="2">
        <f>IF(T_FY27[[#This Row],[FY27工数]]=T_FY27[[#This Row],[FY26工数]], "", T_FY27[[#This Row],[FY27工数]]-T_FY27[[#This Row],[FY26工数]])</f>
        <v>17</v>
      </c>
      <c r="M100" s="11">
        <v>9</v>
      </c>
      <c r="Q100" t="s">
        <v>181</v>
      </c>
    </row>
    <row r="101" spans="1:17">
      <c r="A101" s="1" t="s">
        <v>11</v>
      </c>
      <c r="B101" s="1" t="s">
        <v>12</v>
      </c>
      <c r="C101" s="1" t="s">
        <v>15</v>
      </c>
      <c r="D101" s="1" t="s">
        <v>166</v>
      </c>
      <c r="E101" s="1" t="s">
        <v>44</v>
      </c>
      <c r="F101" s="1" t="str">
        <f>T_FY27[[#This Row],[Eng.]]&amp;T_FY27[[#This Row],[大カテゴリ]]&amp;T_FY27[[#This Row],[中カテゴリ]]&amp;T_FY27[[#This Row],[タスク名]]</f>
        <v>FFGITGCTOC特権ID管理システム(AccessCheck)</v>
      </c>
      <c r="G101" s="9">
        <v>17</v>
      </c>
      <c r="H101" s="9"/>
      <c r="I101" s="8">
        <f>SUM(T_FY27[[#This Row],[恒久工数]:[一時工数]])</f>
        <v>17</v>
      </c>
      <c r="J101" s="8">
        <f>_xlfn.XLOOKUP(T_FY27[[#This Row],[(作業用)タスク結合名]],FY26工数!$F:$F,FY26工数!$I:$I,0)</f>
        <v>0</v>
      </c>
      <c r="K10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101" s="2">
        <f>IF(T_FY27[[#This Row],[FY27工数]]=T_FY27[[#This Row],[FY26工数]], "", T_FY27[[#This Row],[FY27工数]]-T_FY27[[#This Row],[FY26工数]])</f>
        <v>17</v>
      </c>
      <c r="M101" s="11">
        <v>2</v>
      </c>
      <c r="Q101" t="s">
        <v>181</v>
      </c>
    </row>
    <row r="102" spans="1:17">
      <c r="A102" s="1" t="s">
        <v>11</v>
      </c>
      <c r="B102" s="1" t="s">
        <v>12</v>
      </c>
      <c r="C102" s="1" t="s">
        <v>16</v>
      </c>
      <c r="D102" s="1" t="s">
        <v>166</v>
      </c>
      <c r="E102" s="1" t="s">
        <v>44</v>
      </c>
      <c r="F102" s="1" t="str">
        <f>T_FY27[[#This Row],[Eng.]]&amp;T_FY27[[#This Row],[大カテゴリ]]&amp;T_FY27[[#This Row],[中カテゴリ]]&amp;T_FY27[[#This Row],[タスク名]]</f>
        <v>FFGITGCRF特権ID管理システム(AccessCheck)</v>
      </c>
      <c r="G102" s="9">
        <v>5</v>
      </c>
      <c r="H102" s="9"/>
      <c r="I102" s="8">
        <f>SUM(T_FY27[[#This Row],[恒久工数]:[一時工数]])</f>
        <v>5</v>
      </c>
      <c r="J102" s="8">
        <f>_xlfn.XLOOKUP(T_FY27[[#This Row],[(作業用)タスク結合名]],FY26工数!$F:$F,FY26工数!$I:$I,0)</f>
        <v>0</v>
      </c>
      <c r="K10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102" s="2">
        <f>IF(T_FY27[[#This Row],[FY27工数]]=T_FY27[[#This Row],[FY26工数]], "", T_FY27[[#This Row],[FY27工数]]-T_FY27[[#This Row],[FY26工数]])</f>
        <v>5</v>
      </c>
      <c r="M102" s="11">
        <v>4</v>
      </c>
      <c r="Q102" t="s">
        <v>181</v>
      </c>
    </row>
    <row r="103" spans="1:17">
      <c r="A103" s="1" t="s">
        <v>11</v>
      </c>
      <c r="B103" s="1" t="s">
        <v>12</v>
      </c>
      <c r="C103" s="1" t="s">
        <v>13</v>
      </c>
      <c r="D103" s="1" t="s">
        <v>154</v>
      </c>
      <c r="E103" s="1" t="s">
        <v>45</v>
      </c>
      <c r="F103" s="1" t="str">
        <f>T_FY27[[#This Row],[Eng.]]&amp;T_FY27[[#This Row],[大カテゴリ]]&amp;T_FY27[[#This Row],[中カテゴリ]]&amp;T_FY27[[#This Row],[タスク名]]</f>
        <v>FFGITGCWTデータエントリー</v>
      </c>
      <c r="G103" s="9">
        <v>7</v>
      </c>
      <c r="H103" s="9"/>
      <c r="I103" s="8">
        <f>SUM(T_FY27[[#This Row],[恒久工数]:[一時工数]])</f>
        <v>7</v>
      </c>
      <c r="J103" s="8">
        <f>_xlfn.XLOOKUP(T_FY27[[#This Row],[(作業用)タスク結合名]],FY26工数!$F:$F,FY26工数!$I:$I,0)</f>
        <v>7</v>
      </c>
      <c r="K10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3" s="2" t="str">
        <f>IF(T_FY27[[#This Row],[FY27工数]]=T_FY27[[#This Row],[FY26工数]], "", T_FY27[[#This Row],[FY27工数]]-T_FY27[[#This Row],[FY26工数]])</f>
        <v/>
      </c>
      <c r="M103" s="11">
        <v>10</v>
      </c>
    </row>
    <row r="104" spans="1:17">
      <c r="A104" s="1" t="s">
        <v>11</v>
      </c>
      <c r="B104" s="1" t="s">
        <v>12</v>
      </c>
      <c r="C104" s="1" t="s">
        <v>13</v>
      </c>
      <c r="D104" s="1" t="s">
        <v>155</v>
      </c>
      <c r="E104" s="1" t="s">
        <v>46</v>
      </c>
      <c r="F104" s="1" t="str">
        <f>T_FY27[[#This Row],[Eng.]]&amp;T_FY27[[#This Row],[大カテゴリ]]&amp;T_FY27[[#This Row],[中カテゴリ]]&amp;T_FY27[[#This Row],[タスク名]]</f>
        <v>FFGITGCWT市場金利情報伝送</v>
      </c>
      <c r="G104" s="9">
        <v>7</v>
      </c>
      <c r="H104" s="9"/>
      <c r="I104" s="8">
        <f>SUM(T_FY27[[#This Row],[恒久工数]:[一時工数]])</f>
        <v>7</v>
      </c>
      <c r="J104" s="8">
        <f>_xlfn.XLOOKUP(T_FY27[[#This Row],[(作業用)タスク結合名]],FY26工数!$F:$F,FY26工数!$I:$I,0)</f>
        <v>7</v>
      </c>
      <c r="K10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4" s="2" t="str">
        <f>IF(T_FY27[[#This Row],[FY27工数]]=T_FY27[[#This Row],[FY26工数]], "", T_FY27[[#This Row],[FY27工数]]-T_FY27[[#This Row],[FY26工数]])</f>
        <v/>
      </c>
      <c r="M104" s="11">
        <v>10</v>
      </c>
    </row>
    <row r="105" spans="1:17">
      <c r="A105" s="1" t="s">
        <v>11</v>
      </c>
      <c r="B105" s="1" t="s">
        <v>12</v>
      </c>
      <c r="C105" s="1" t="s">
        <v>13</v>
      </c>
      <c r="D105" s="1" t="s">
        <v>156</v>
      </c>
      <c r="E105" s="1" t="s">
        <v>47</v>
      </c>
      <c r="F105" s="1" t="str">
        <f>T_FY27[[#This Row],[Eng.]]&amp;T_FY27[[#This Row],[大カテゴリ]]&amp;T_FY27[[#This Row],[中カテゴリ]]&amp;T_FY27[[#This Row],[タスク名]]</f>
        <v>FFGITGCWT個人IB</v>
      </c>
      <c r="G105" s="9">
        <v>7</v>
      </c>
      <c r="H105" s="9"/>
      <c r="I105" s="8">
        <f>SUM(T_FY27[[#This Row],[恒久工数]:[一時工数]])</f>
        <v>7</v>
      </c>
      <c r="J105" s="8">
        <f>_xlfn.XLOOKUP(T_FY27[[#This Row],[(作業用)タスク結合名]],FY26工数!$F:$F,FY26工数!$I:$I,0)</f>
        <v>7</v>
      </c>
      <c r="K10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5" s="2" t="str">
        <f>IF(T_FY27[[#This Row],[FY27工数]]=T_FY27[[#This Row],[FY26工数]], "", T_FY27[[#This Row],[FY27工数]]-T_FY27[[#This Row],[FY26工数]])</f>
        <v/>
      </c>
      <c r="M105" s="11">
        <v>10</v>
      </c>
    </row>
    <row r="106" spans="1:17">
      <c r="A106" s="1" t="s">
        <v>11</v>
      </c>
      <c r="B106" s="1" t="s">
        <v>12</v>
      </c>
      <c r="C106" s="1" t="s">
        <v>13</v>
      </c>
      <c r="D106" s="1" t="s">
        <v>157</v>
      </c>
      <c r="E106" s="1" t="s">
        <v>48</v>
      </c>
      <c r="F106" s="1" t="str">
        <f>T_FY27[[#This Row],[Eng.]]&amp;T_FY27[[#This Row],[大カテゴリ]]&amp;T_FY27[[#This Row],[中カテゴリ]]&amp;T_FY27[[#This Row],[タスク名]]</f>
        <v>FFGITGCWT法人IB</v>
      </c>
      <c r="G106" s="9">
        <v>7</v>
      </c>
      <c r="H106" s="9"/>
      <c r="I106" s="8">
        <f>SUM(T_FY27[[#This Row],[恒久工数]:[一時工数]])</f>
        <v>7</v>
      </c>
      <c r="J106" s="8">
        <f>_xlfn.XLOOKUP(T_FY27[[#This Row],[(作業用)タスク結合名]],FY26工数!$F:$F,FY26工数!$I:$I,0)</f>
        <v>7</v>
      </c>
      <c r="K10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6" s="2" t="str">
        <f>IF(T_FY27[[#This Row],[FY27工数]]=T_FY27[[#This Row],[FY26工数]], "", T_FY27[[#This Row],[FY27工数]]-T_FY27[[#This Row],[FY26工数]])</f>
        <v/>
      </c>
      <c r="M106" s="11">
        <v>10</v>
      </c>
    </row>
    <row r="107" spans="1:17">
      <c r="A107" s="1" t="s">
        <v>11</v>
      </c>
      <c r="B107" s="1" t="s">
        <v>12</v>
      </c>
      <c r="C107" s="1" t="s">
        <v>13</v>
      </c>
      <c r="D107" s="1" t="s">
        <v>158</v>
      </c>
      <c r="E107" s="1" t="s">
        <v>49</v>
      </c>
      <c r="F107" s="1" t="str">
        <f>T_FY27[[#This Row],[Eng.]]&amp;T_FY27[[#This Row],[大カテゴリ]]&amp;T_FY27[[#This Row],[中カテゴリ]]&amp;T_FY27[[#This Row],[タスク名]]</f>
        <v>FFGITGCWTBancMeasure+</v>
      </c>
      <c r="G107" s="9">
        <v>7</v>
      </c>
      <c r="H107" s="9"/>
      <c r="I107" s="8">
        <f>SUM(T_FY27[[#This Row],[恒久工数]:[一時工数]])</f>
        <v>7</v>
      </c>
      <c r="J107" s="8">
        <f>_xlfn.XLOOKUP(T_FY27[[#This Row],[(作業用)タスク結合名]],FY26工数!$F:$F,FY26工数!$I:$I,0)</f>
        <v>7</v>
      </c>
      <c r="K10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7" s="2" t="str">
        <f>IF(T_FY27[[#This Row],[FY27工数]]=T_FY27[[#This Row],[FY26工数]], "", T_FY27[[#This Row],[FY27工数]]-T_FY27[[#This Row],[FY26工数]])</f>
        <v/>
      </c>
      <c r="M107" s="11">
        <v>10</v>
      </c>
    </row>
    <row r="108" spans="1:17">
      <c r="A108" s="1" t="s">
        <v>11</v>
      </c>
      <c r="B108" s="1" t="s">
        <v>12</v>
      </c>
      <c r="C108" s="1" t="s">
        <v>13</v>
      </c>
      <c r="D108" s="1" t="s">
        <v>159</v>
      </c>
      <c r="E108" s="1" t="s">
        <v>50</v>
      </c>
      <c r="F108" s="1" t="str">
        <f>T_FY27[[#This Row],[Eng.]]&amp;T_FY27[[#This Row],[大カテゴリ]]&amp;T_FY27[[#This Row],[中カテゴリ]]&amp;T_FY27[[#This Row],[タスク名]]</f>
        <v>FFGITGCWT自動仕訳システム</v>
      </c>
      <c r="G108" s="9">
        <v>7</v>
      </c>
      <c r="H108" s="9"/>
      <c r="I108" s="8">
        <f>SUM(T_FY27[[#This Row],[恒久工数]:[一時工数]])</f>
        <v>7</v>
      </c>
      <c r="J108" s="8">
        <f>_xlfn.XLOOKUP(T_FY27[[#This Row],[(作業用)タスク結合名]],FY26工数!$F:$F,FY26工数!$I:$I,0)</f>
        <v>7</v>
      </c>
      <c r="K10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8" s="2" t="str">
        <f>IF(T_FY27[[#This Row],[FY27工数]]=T_FY27[[#This Row],[FY26工数]], "", T_FY27[[#This Row],[FY27工数]]-T_FY27[[#This Row],[FY26工数]])</f>
        <v/>
      </c>
      <c r="M108" s="11">
        <v>10</v>
      </c>
    </row>
    <row r="109" spans="1:17">
      <c r="A109" s="1" t="s">
        <v>11</v>
      </c>
      <c r="B109" s="1" t="s">
        <v>12</v>
      </c>
      <c r="C109" s="1" t="s">
        <v>13</v>
      </c>
      <c r="D109" s="1" t="s">
        <v>160</v>
      </c>
      <c r="E109" s="1" t="s">
        <v>51</v>
      </c>
      <c r="F109" s="1" t="str">
        <f>T_FY27[[#This Row],[Eng.]]&amp;T_FY27[[#This Row],[大カテゴリ]]&amp;T_FY27[[#This Row],[中カテゴリ]]&amp;T_FY27[[#This Row],[タスク名]]</f>
        <v>FFGITGCWT(FFG)リスク管理高度化</v>
      </c>
      <c r="G109" s="9">
        <v>7</v>
      </c>
      <c r="H109" s="9"/>
      <c r="I109" s="8">
        <f>SUM(T_FY27[[#This Row],[恒久工数]:[一時工数]])</f>
        <v>7</v>
      </c>
      <c r="J109" s="8">
        <f>_xlfn.XLOOKUP(T_FY27[[#This Row],[(作業用)タスク結合名]],FY26工数!$F:$F,FY26工数!$I:$I,0)</f>
        <v>7</v>
      </c>
      <c r="K10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09" s="2" t="str">
        <f>IF(T_FY27[[#This Row],[FY27工数]]=T_FY27[[#This Row],[FY26工数]], "", T_FY27[[#This Row],[FY27工数]]-T_FY27[[#This Row],[FY26工数]])</f>
        <v/>
      </c>
      <c r="M109" s="11">
        <v>10</v>
      </c>
    </row>
    <row r="110" spans="1:17">
      <c r="A110" s="1" t="s">
        <v>11</v>
      </c>
      <c r="B110" s="1" t="s">
        <v>12</v>
      </c>
      <c r="C110" s="1" t="s">
        <v>52</v>
      </c>
      <c r="D110" s="1" t="s">
        <v>161</v>
      </c>
      <c r="E110" s="1" t="s">
        <v>53</v>
      </c>
      <c r="F110" s="1" t="str">
        <f>T_FY27[[#This Row],[Eng.]]&amp;T_FY27[[#This Row],[大カテゴリ]]&amp;T_FY27[[#This Row],[中カテゴリ]]&amp;T_FY27[[#This Row],[タスク名]]</f>
        <v>FFGITGC315対応サミット(VISA)</v>
      </c>
      <c r="G110" s="9">
        <v>3</v>
      </c>
      <c r="H110" s="9"/>
      <c r="I110" s="8">
        <f>SUM(T_FY27[[#This Row],[恒久工数]:[一時工数]])</f>
        <v>3</v>
      </c>
      <c r="J110" s="8">
        <f>_xlfn.XLOOKUP(T_FY27[[#This Row],[(作業用)タスク結合名]],FY26工数!$F:$F,FY26工数!$I:$I,0)</f>
        <v>3</v>
      </c>
      <c r="K11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0" s="2" t="str">
        <f>IF(T_FY27[[#This Row],[FY27工数]]=T_FY27[[#This Row],[FY26工数]], "", T_FY27[[#This Row],[FY27工数]]-T_FY27[[#This Row],[FY26工数]])</f>
        <v/>
      </c>
      <c r="M110" s="11">
        <v>10</v>
      </c>
    </row>
    <row r="111" spans="1:17">
      <c r="A111" s="1" t="s">
        <v>11</v>
      </c>
      <c r="B111" s="1" t="s">
        <v>12</v>
      </c>
      <c r="C111" s="1" t="s">
        <v>52</v>
      </c>
      <c r="D111" s="1" t="s">
        <v>162</v>
      </c>
      <c r="E111" s="1" t="s">
        <v>54</v>
      </c>
      <c r="F111" s="1" t="str">
        <f>T_FY27[[#This Row],[Eng.]]&amp;T_FY27[[#This Row],[大カテゴリ]]&amp;T_FY27[[#This Row],[中カテゴリ]]&amp;T_FY27[[#This Row],[タスク名]]</f>
        <v>FFGITGC315対応ジニアス(JCB)</v>
      </c>
      <c r="G111" s="9">
        <v>3</v>
      </c>
      <c r="H111" s="9"/>
      <c r="I111" s="8">
        <f>SUM(T_FY27[[#This Row],[恒久工数]:[一時工数]])</f>
        <v>3</v>
      </c>
      <c r="J111" s="8">
        <f>_xlfn.XLOOKUP(T_FY27[[#This Row],[(作業用)タスク結合名]],FY26工数!$F:$F,FY26工数!$I:$I,0)</f>
        <v>3</v>
      </c>
      <c r="K11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1" s="2" t="str">
        <f>IF(T_FY27[[#This Row],[FY27工数]]=T_FY27[[#This Row],[FY26工数]], "", T_FY27[[#This Row],[FY27工数]]-T_FY27[[#This Row],[FY26工数]])</f>
        <v/>
      </c>
      <c r="M111" s="11">
        <v>10</v>
      </c>
    </row>
    <row r="112" spans="1:17">
      <c r="A112" s="1" t="s">
        <v>11</v>
      </c>
      <c r="B112" s="1" t="s">
        <v>12</v>
      </c>
      <c r="C112" s="1" t="s">
        <v>52</v>
      </c>
      <c r="D112" s="1" t="s">
        <v>163</v>
      </c>
      <c r="E112" s="1" t="s">
        <v>55</v>
      </c>
      <c r="F112" s="1" t="str">
        <f>T_FY27[[#This Row],[Eng.]]&amp;T_FY27[[#This Row],[大カテゴリ]]&amp;T_FY27[[#This Row],[中カテゴリ]]&amp;T_FY27[[#This Row],[タスク名]]</f>
        <v>FFGITGC315対応Nomura i-Port</v>
      </c>
      <c r="G112" s="9">
        <v>3</v>
      </c>
      <c r="H112" s="9"/>
      <c r="I112" s="8">
        <f>SUM(T_FY27[[#This Row],[恒久工数]:[一時工数]])</f>
        <v>3</v>
      </c>
      <c r="J112" s="8">
        <f>_xlfn.XLOOKUP(T_FY27[[#This Row],[(作業用)タスク結合名]],FY26工数!$F:$F,FY26工数!$I:$I,0)</f>
        <v>3</v>
      </c>
      <c r="K11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2" s="2" t="str">
        <f>IF(T_FY27[[#This Row],[FY27工数]]=T_FY27[[#This Row],[FY26工数]], "", T_FY27[[#This Row],[FY27工数]]-T_FY27[[#This Row],[FY26工数]])</f>
        <v/>
      </c>
      <c r="M112" s="11">
        <v>10</v>
      </c>
    </row>
    <row r="113" spans="1:13">
      <c r="A113" s="1" t="s">
        <v>11</v>
      </c>
      <c r="B113" s="1" t="s">
        <v>12</v>
      </c>
      <c r="C113" s="1" t="s">
        <v>52</v>
      </c>
      <c r="D113" s="1" t="s">
        <v>164</v>
      </c>
      <c r="E113" s="1" t="s">
        <v>56</v>
      </c>
      <c r="F113" s="1" t="str">
        <f>T_FY27[[#This Row],[Eng.]]&amp;T_FY27[[#This Row],[大カテゴリ]]&amp;T_FY27[[#This Row],[中カテゴリ]]&amp;T_FY27[[#This Row],[タスク名]]</f>
        <v>FFGITGC315対応BESTWAY</v>
      </c>
      <c r="G113" s="9">
        <v>3</v>
      </c>
      <c r="H113" s="9"/>
      <c r="I113" s="8">
        <f>SUM(T_FY27[[#This Row],[恒久工数]:[一時工数]])</f>
        <v>3</v>
      </c>
      <c r="J113" s="8">
        <f>_xlfn.XLOOKUP(T_FY27[[#This Row],[(作業用)タスク結合名]],FY26工数!$F:$F,FY26工数!$I:$I,0)</f>
        <v>3</v>
      </c>
      <c r="K11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3" s="2" t="str">
        <f>IF(T_FY27[[#This Row],[FY27工数]]=T_FY27[[#This Row],[FY26工数]], "", T_FY27[[#This Row],[FY27工数]]-T_FY27[[#This Row],[FY26工数]])</f>
        <v/>
      </c>
      <c r="M113" s="11">
        <v>10</v>
      </c>
    </row>
    <row r="114" spans="1:13">
      <c r="A114" s="1" t="s">
        <v>11</v>
      </c>
      <c r="B114" s="1" t="s">
        <v>12</v>
      </c>
      <c r="C114" s="1" t="s">
        <v>52</v>
      </c>
      <c r="D114" s="1"/>
      <c r="E114" s="1" t="s">
        <v>57</v>
      </c>
      <c r="F114" s="1" t="str">
        <f>T_FY27[[#This Row],[Eng.]]&amp;T_FY27[[#This Row],[大カテゴリ]]&amp;T_FY27[[#This Row],[中カテゴリ]]&amp;T_FY27[[#This Row],[タスク名]]</f>
        <v>FFGITGC315対応FFGカード関連外部サービス</v>
      </c>
      <c r="G114" s="9">
        <v>3</v>
      </c>
      <c r="H114" s="9"/>
      <c r="I114" s="8">
        <f>SUM(T_FY27[[#This Row],[恒久工数]:[一時工数]])</f>
        <v>3</v>
      </c>
      <c r="J114" s="8">
        <f>_xlfn.XLOOKUP(T_FY27[[#This Row],[(作業用)タスク結合名]],FY26工数!$F:$F,FY26工数!$I:$I,0)</f>
        <v>3</v>
      </c>
      <c r="K11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4" s="2" t="str">
        <f>IF(T_FY27[[#This Row],[FY27工数]]=T_FY27[[#This Row],[FY26工数]], "", T_FY27[[#This Row],[FY27工数]]-T_FY27[[#This Row],[FY26工数]])</f>
        <v/>
      </c>
      <c r="M114" s="11">
        <v>10</v>
      </c>
    </row>
    <row r="115" spans="1:13">
      <c r="A115" s="1" t="s">
        <v>11</v>
      </c>
      <c r="B115" s="1" t="s">
        <v>58</v>
      </c>
      <c r="C115" s="1" t="s">
        <v>59</v>
      </c>
      <c r="D115" s="1"/>
      <c r="E115" s="1" t="s">
        <v>60</v>
      </c>
      <c r="F115" s="1" t="str">
        <f>T_FY27[[#This Row],[Eng.]]&amp;T_FY27[[#This Row],[大カテゴリ]]&amp;T_FY27[[#This Row],[中カテゴリ]]&amp;T_FY27[[#This Row],[タスク名]]</f>
        <v>FFGITAC-ポジショニング図の作成</v>
      </c>
      <c r="G115" s="9">
        <v>8</v>
      </c>
      <c r="H115" s="9"/>
      <c r="I115" s="8">
        <f>SUM(T_FY27[[#This Row],[恒久工数]:[一時工数]])</f>
        <v>8</v>
      </c>
      <c r="J115" s="8">
        <f>_xlfn.XLOOKUP(T_FY27[[#This Row],[(作業用)タスク結合名]],FY26工数!$F:$F,FY26工数!$I:$I,0)</f>
        <v>8</v>
      </c>
      <c r="K11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5" s="2" t="str">
        <f>IF(T_FY27[[#This Row],[FY27工数]]=T_FY27[[#This Row],[FY26工数]], "", T_FY27[[#This Row],[FY27工数]]-T_FY27[[#This Row],[FY26工数]])</f>
        <v/>
      </c>
      <c r="M115" s="11">
        <v>10</v>
      </c>
    </row>
    <row r="116" spans="1:13">
      <c r="A116" s="1" t="s">
        <v>11</v>
      </c>
      <c r="B116" s="1" t="s">
        <v>58</v>
      </c>
      <c r="C116" s="1" t="s">
        <v>61</v>
      </c>
      <c r="D116" s="1"/>
      <c r="E116" s="1" t="s">
        <v>62</v>
      </c>
      <c r="F116" s="1" t="str">
        <f>T_FY27[[#This Row],[Eng.]]&amp;T_FY27[[#This Row],[大カテゴリ]]&amp;T_FY27[[#This Row],[中カテゴリ]]&amp;T_FY27[[#This Row],[タスク名]]</f>
        <v>FFGITAC格付自己格付自己査定・貸出金SCOTのDFD作成</v>
      </c>
      <c r="G116" s="9">
        <v>8</v>
      </c>
      <c r="H116" s="9"/>
      <c r="I116" s="8">
        <f>SUM(T_FY27[[#This Row],[恒久工数]:[一時工数]])</f>
        <v>8</v>
      </c>
      <c r="J116" s="8">
        <f>_xlfn.XLOOKUP(T_FY27[[#This Row],[(作業用)タスク結合名]],FY26工数!$F:$F,FY26工数!$I:$I,0)</f>
        <v>8</v>
      </c>
      <c r="K11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6" s="2" t="str">
        <f>IF(T_FY27[[#This Row],[FY27工数]]=T_FY27[[#This Row],[FY26工数]], "", T_FY27[[#This Row],[FY27工数]]-T_FY27[[#This Row],[FY26工数]])</f>
        <v/>
      </c>
      <c r="M116" s="11">
        <v>10</v>
      </c>
    </row>
    <row r="117" spans="1:13">
      <c r="A117" s="1" t="s">
        <v>11</v>
      </c>
      <c r="B117" s="1" t="s">
        <v>58</v>
      </c>
      <c r="C117" s="1" t="s">
        <v>61</v>
      </c>
      <c r="D117" s="1"/>
      <c r="E117" s="1" t="s">
        <v>63</v>
      </c>
      <c r="F117" s="1" t="str">
        <f>T_FY27[[#This Row],[Eng.]]&amp;T_FY27[[#This Row],[大カテゴリ]]&amp;T_FY27[[#This Row],[中カテゴリ]]&amp;T_FY27[[#This Row],[タスク名]]</f>
        <v>FFGITAC格付自己格付自己査定・貸出金SCOT_データフロー観点のリスク・統制の識別</v>
      </c>
      <c r="G117" s="9">
        <v>4</v>
      </c>
      <c r="H117" s="9"/>
      <c r="I117" s="8">
        <f>SUM(T_FY27[[#This Row],[恒久工数]:[一時工数]])</f>
        <v>4</v>
      </c>
      <c r="J117" s="8">
        <f>_xlfn.XLOOKUP(T_FY27[[#This Row],[(作業用)タスク結合名]],FY26工数!$F:$F,FY26工数!$I:$I,0)</f>
        <v>4</v>
      </c>
      <c r="K11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7" s="2" t="str">
        <f>IF(T_FY27[[#This Row],[FY27工数]]=T_FY27[[#This Row],[FY26工数]], "", T_FY27[[#This Row],[FY27工数]]-T_FY27[[#This Row],[FY26工数]])</f>
        <v/>
      </c>
      <c r="M117" s="11">
        <v>10</v>
      </c>
    </row>
    <row r="118" spans="1:13">
      <c r="A118" s="1" t="s">
        <v>11</v>
      </c>
      <c r="B118" s="1" t="s">
        <v>58</v>
      </c>
      <c r="C118" s="1" t="s">
        <v>61</v>
      </c>
      <c r="D118" s="1"/>
      <c r="E118" s="1" t="s">
        <v>64</v>
      </c>
      <c r="F118" s="1" t="str">
        <f>T_FY27[[#This Row],[Eng.]]&amp;T_FY27[[#This Row],[大カテゴリ]]&amp;T_FY27[[#This Row],[中カテゴリ]]&amp;T_FY27[[#This Row],[タスク名]]</f>
        <v>FFGITAC格付自己格付自己査定・貸出金SCOT_既存SCOT調書でのリスク・統制識別との比較</v>
      </c>
      <c r="G118" s="9">
        <v>4</v>
      </c>
      <c r="H118" s="9"/>
      <c r="I118" s="8">
        <f>SUM(T_FY27[[#This Row],[恒久工数]:[一時工数]])</f>
        <v>4</v>
      </c>
      <c r="J118" s="8">
        <f>_xlfn.XLOOKUP(T_FY27[[#This Row],[(作業用)タスク結合名]],FY26工数!$F:$F,FY26工数!$I:$I,0)</f>
        <v>4</v>
      </c>
      <c r="K11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8" s="2" t="str">
        <f>IF(T_FY27[[#This Row],[FY27工数]]=T_FY27[[#This Row],[FY26工数]], "", T_FY27[[#This Row],[FY27工数]]-T_FY27[[#This Row],[FY26工数]])</f>
        <v/>
      </c>
      <c r="M118" s="11">
        <v>10</v>
      </c>
    </row>
    <row r="119" spans="1:13">
      <c r="A119" s="1" t="s">
        <v>11</v>
      </c>
      <c r="B119" s="1" t="s">
        <v>58</v>
      </c>
      <c r="C119" s="1" t="s">
        <v>61</v>
      </c>
      <c r="D119" s="1"/>
      <c r="E119" s="1" t="s">
        <v>65</v>
      </c>
      <c r="F119" s="1" t="str">
        <f>T_FY27[[#This Row],[Eng.]]&amp;T_FY27[[#This Row],[大カテゴリ]]&amp;T_FY27[[#This Row],[中カテゴリ]]&amp;T_FY27[[#This Row],[タスク名]]</f>
        <v>FFGITAC格付自己格付自己査定・貸出金SCOT_プロセス・リスク・統制識別に係るコアナームレピ</v>
      </c>
      <c r="G119" s="9">
        <v>2</v>
      </c>
      <c r="H119" s="9"/>
      <c r="I119" s="8">
        <f>SUM(T_FY27[[#This Row],[恒久工数]:[一時工数]])</f>
        <v>2</v>
      </c>
      <c r="J119" s="8">
        <f>_xlfn.XLOOKUP(T_FY27[[#This Row],[(作業用)タスク結合名]],FY26工数!$F:$F,FY26工数!$I:$I,0)</f>
        <v>2</v>
      </c>
      <c r="K11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19" s="2" t="str">
        <f>IF(T_FY27[[#This Row],[FY27工数]]=T_FY27[[#This Row],[FY26工数]], "", T_FY27[[#This Row],[FY27工数]]-T_FY27[[#This Row],[FY26工数]])</f>
        <v/>
      </c>
      <c r="M119" s="11">
        <v>10</v>
      </c>
    </row>
    <row r="120" spans="1:13">
      <c r="A120" s="1" t="s">
        <v>11</v>
      </c>
      <c r="B120" s="1" t="s">
        <v>58</v>
      </c>
      <c r="C120" s="1" t="s">
        <v>61</v>
      </c>
      <c r="D120" s="1"/>
      <c r="E120" s="1" t="s">
        <v>66</v>
      </c>
      <c r="F120" s="1" t="str">
        <f>T_FY27[[#This Row],[Eng.]]&amp;T_FY27[[#This Row],[大カテゴリ]]&amp;T_FY27[[#This Row],[中カテゴリ]]&amp;T_FY27[[#This Row],[タスク名]]</f>
        <v>FFGITAC格付自己格付自己査定・貸出金SCOT_WT追加依頼リストの作成</v>
      </c>
      <c r="G120" s="9">
        <v>2</v>
      </c>
      <c r="H120" s="9"/>
      <c r="I120" s="8">
        <f>SUM(T_FY27[[#This Row],[恒久工数]:[一時工数]])</f>
        <v>2</v>
      </c>
      <c r="J120" s="8">
        <f>_xlfn.XLOOKUP(T_FY27[[#This Row],[(作業用)タスク結合名]],FY26工数!$F:$F,FY26工数!$I:$I,0)</f>
        <v>2</v>
      </c>
      <c r="K12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0" s="2" t="str">
        <f>IF(T_FY27[[#This Row],[FY27工数]]=T_FY27[[#This Row],[FY26工数]], "", T_FY27[[#This Row],[FY27工数]]-T_FY27[[#This Row],[FY26工数]])</f>
        <v/>
      </c>
      <c r="M120" s="11">
        <v>10</v>
      </c>
    </row>
    <row r="121" spans="1:13">
      <c r="A121" s="1" t="s">
        <v>11</v>
      </c>
      <c r="B121" s="1" t="s">
        <v>58</v>
      </c>
      <c r="C121" s="1" t="s">
        <v>61</v>
      </c>
      <c r="D121" s="1"/>
      <c r="E121" s="1" t="s">
        <v>67</v>
      </c>
      <c r="F121" s="1" t="str">
        <f>T_FY27[[#This Row],[Eng.]]&amp;T_FY27[[#This Row],[大カテゴリ]]&amp;T_FY27[[#This Row],[中カテゴリ]]&amp;T_FY27[[#This Row],[タスク名]]</f>
        <v>FFGITAC格付自己格付自己査定・貸出金SCOT_ITAC評価調書(差分版)の作成(BITACso)</v>
      </c>
      <c r="G121" s="9">
        <v>32</v>
      </c>
      <c r="H121" s="9"/>
      <c r="I121" s="8">
        <f>SUM(T_FY27[[#This Row],[恒久工数]:[一時工数]])</f>
        <v>32</v>
      </c>
      <c r="J121" s="8">
        <f>_xlfn.XLOOKUP(T_FY27[[#This Row],[(作業用)タスク結合名]],FY26工数!$F:$F,FY26工数!$I:$I,0)</f>
        <v>32</v>
      </c>
      <c r="K12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1" s="2" t="str">
        <f>IF(T_FY27[[#This Row],[FY27工数]]=T_FY27[[#This Row],[FY26工数]], "", T_FY27[[#This Row],[FY27工数]]-T_FY27[[#This Row],[FY26工数]])</f>
        <v/>
      </c>
      <c r="M121" s="11">
        <v>10</v>
      </c>
    </row>
    <row r="122" spans="1:13">
      <c r="A122" s="1" t="s">
        <v>11</v>
      </c>
      <c r="B122" s="1" t="s">
        <v>58</v>
      </c>
      <c r="C122" s="1" t="s">
        <v>61</v>
      </c>
      <c r="D122" s="1"/>
      <c r="E122" s="1" t="s">
        <v>68</v>
      </c>
      <c r="F122" s="1" t="str">
        <f>T_FY27[[#This Row],[Eng.]]&amp;T_FY27[[#This Row],[大カテゴリ]]&amp;T_FY27[[#This Row],[中カテゴリ]]&amp;T_FY27[[#This Row],[タスク名]]</f>
        <v>FFGITAC格付自己格付自己査定・貸出金SCOT_調書レビュー</v>
      </c>
      <c r="G122" s="9">
        <v>4</v>
      </c>
      <c r="H122" s="9"/>
      <c r="I122" s="8">
        <f>SUM(T_FY27[[#This Row],[恒久工数]:[一時工数]])</f>
        <v>4</v>
      </c>
      <c r="J122" s="8">
        <f>_xlfn.XLOOKUP(T_FY27[[#This Row],[(作業用)タスク結合名]],FY26工数!$F:$F,FY26工数!$I:$I,0)</f>
        <v>4</v>
      </c>
      <c r="K12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2" s="2" t="str">
        <f>IF(T_FY27[[#This Row],[FY27工数]]=T_FY27[[#This Row],[FY26工数]], "", T_FY27[[#This Row],[FY27工数]]-T_FY27[[#This Row],[FY26工数]])</f>
        <v/>
      </c>
      <c r="M122" s="11">
        <v>10</v>
      </c>
    </row>
    <row r="123" spans="1:13">
      <c r="A123" s="1" t="s">
        <v>11</v>
      </c>
      <c r="B123" s="1" t="s">
        <v>58</v>
      </c>
      <c r="C123" s="1" t="s">
        <v>69</v>
      </c>
      <c r="D123" s="1"/>
      <c r="E123" s="1" t="s">
        <v>70</v>
      </c>
      <c r="F123" s="1" t="str">
        <f>T_FY27[[#This Row],[Eng.]]&amp;T_FY27[[#This Row],[大カテゴリ]]&amp;T_FY27[[#This Row],[中カテゴリ]]&amp;T_FY27[[#This Row],[タスク名]]</f>
        <v>FFGITAC金利関連為替・金利SCOTのDFD更新</v>
      </c>
      <c r="G123" s="9">
        <v>8</v>
      </c>
      <c r="H123" s="9"/>
      <c r="I123" s="8">
        <f>SUM(T_FY27[[#This Row],[恒久工数]:[一時工数]])</f>
        <v>8</v>
      </c>
      <c r="J123" s="8">
        <f>_xlfn.XLOOKUP(T_FY27[[#This Row],[(作業用)タスク結合名]],FY26工数!$F:$F,FY26工数!$I:$I,0)</f>
        <v>8</v>
      </c>
      <c r="K12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3" s="2" t="str">
        <f>IF(T_FY27[[#This Row],[FY27工数]]=T_FY27[[#This Row],[FY26工数]], "", T_FY27[[#This Row],[FY27工数]]-T_FY27[[#This Row],[FY26工数]])</f>
        <v/>
      </c>
      <c r="M123" s="11">
        <v>10</v>
      </c>
    </row>
    <row r="124" spans="1:13">
      <c r="A124" s="1" t="s">
        <v>11</v>
      </c>
      <c r="B124" s="1" t="s">
        <v>58</v>
      </c>
      <c r="C124" s="1" t="s">
        <v>59</v>
      </c>
      <c r="D124" s="1"/>
      <c r="E124" s="1" t="s">
        <v>71</v>
      </c>
      <c r="F124" s="1" t="str">
        <f>T_FY27[[#This Row],[Eng.]]&amp;T_FY27[[#This Row],[大カテゴリ]]&amp;T_FY27[[#This Row],[中カテゴリ]]&amp;T_FY27[[#This Row],[タスク名]]</f>
        <v>FFGITAC-既存ITAC_格付自己査定プロセスのITAC評価(BITACs)</v>
      </c>
      <c r="G124" s="9">
        <v>16</v>
      </c>
      <c r="H124" s="9"/>
      <c r="I124" s="8">
        <f>SUM(T_FY27[[#This Row],[恒久工数]:[一時工数]])</f>
        <v>16</v>
      </c>
      <c r="J124" s="8">
        <f>_xlfn.XLOOKUP(T_FY27[[#This Row],[(作業用)タスク結合名]],FY26工数!$F:$F,FY26工数!$I:$I,0)</f>
        <v>16</v>
      </c>
      <c r="K12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4" s="2" t="str">
        <f>IF(T_FY27[[#This Row],[FY27工数]]=T_FY27[[#This Row],[FY26工数]], "", T_FY27[[#This Row],[FY27工数]]-T_FY27[[#This Row],[FY26工数]])</f>
        <v/>
      </c>
      <c r="M124" s="11">
        <v>10</v>
      </c>
    </row>
    <row r="125" spans="1:13">
      <c r="A125" s="1" t="s">
        <v>11</v>
      </c>
      <c r="B125" s="1" t="s">
        <v>58</v>
      </c>
      <c r="C125" s="1" t="s">
        <v>59</v>
      </c>
      <c r="D125" s="1"/>
      <c r="E125" s="1" t="s">
        <v>72</v>
      </c>
      <c r="F125" s="1" t="str">
        <f>T_FY27[[#This Row],[Eng.]]&amp;T_FY27[[#This Row],[大カテゴリ]]&amp;T_FY27[[#This Row],[中カテゴリ]]&amp;T_FY27[[#This Row],[タスク名]]</f>
        <v>FFGITAC-既存ITAC_調書レビュー</v>
      </c>
      <c r="G125" s="9">
        <v>4</v>
      </c>
      <c r="H125" s="9"/>
      <c r="I125" s="8">
        <f>SUM(T_FY27[[#This Row],[恒久工数]:[一時工数]])</f>
        <v>4</v>
      </c>
      <c r="J125" s="8">
        <f>_xlfn.XLOOKUP(T_FY27[[#This Row],[(作業用)タスク結合名]],FY26工数!$F:$F,FY26工数!$I:$I,0)</f>
        <v>4</v>
      </c>
      <c r="K12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5" s="2" t="str">
        <f>IF(T_FY27[[#This Row],[FY27工数]]=T_FY27[[#This Row],[FY26工数]], "", T_FY27[[#This Row],[FY27工数]]-T_FY27[[#This Row],[FY26工数]])</f>
        <v/>
      </c>
      <c r="M125" s="11">
        <v>10</v>
      </c>
    </row>
    <row r="126" spans="1:13">
      <c r="A126" s="1" t="s">
        <v>11</v>
      </c>
      <c r="B126" s="1" t="s">
        <v>73</v>
      </c>
      <c r="C126" s="1" t="s">
        <v>59</v>
      </c>
      <c r="D126" s="1"/>
      <c r="E126" s="1" t="s">
        <v>74</v>
      </c>
      <c r="F126" s="1" t="str">
        <f>T_FY27[[#This Row],[Eng.]]&amp;T_FY27[[#This Row],[大カテゴリ]]&amp;T_FY27[[#This Row],[中カテゴリ]]&amp;T_FY27[[#This Row],[タスク名]]</f>
        <v>FFGIPE-IPE評価調書(EYJP265及び別紙)の作成</v>
      </c>
      <c r="G126" s="9">
        <v>8</v>
      </c>
      <c r="H126" s="9"/>
      <c r="I126" s="8">
        <f>SUM(T_FY27[[#This Row],[恒久工数]:[一時工数]])</f>
        <v>8</v>
      </c>
      <c r="J126" s="8">
        <f>_xlfn.XLOOKUP(T_FY27[[#This Row],[(作業用)タスク結合名]],FY26工数!$F:$F,FY26工数!$I:$I,0)</f>
        <v>8</v>
      </c>
      <c r="K12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6" s="2" t="str">
        <f>IF(T_FY27[[#This Row],[FY27工数]]=T_FY27[[#This Row],[FY26工数]], "", T_FY27[[#This Row],[FY27工数]]-T_FY27[[#This Row],[FY26工数]])</f>
        <v/>
      </c>
      <c r="M126" s="11">
        <v>10</v>
      </c>
    </row>
    <row r="127" spans="1:13">
      <c r="A127" s="1" t="s">
        <v>11</v>
      </c>
      <c r="B127" s="1" t="s">
        <v>73</v>
      </c>
      <c r="C127" s="1" t="s">
        <v>59</v>
      </c>
      <c r="D127" s="1"/>
      <c r="E127" s="1" t="s">
        <v>75</v>
      </c>
      <c r="F127" s="1" t="str">
        <f>T_FY27[[#This Row],[Eng.]]&amp;T_FY27[[#This Row],[大カテゴリ]]&amp;T_FY27[[#This Row],[中カテゴリ]]&amp;T_FY27[[#This Row],[タスク名]]</f>
        <v>FFGIPE-IPE評価調書_調書レビュー</v>
      </c>
      <c r="G127" s="9">
        <v>4</v>
      </c>
      <c r="H127" s="9"/>
      <c r="I127" s="8">
        <f>SUM(T_FY27[[#This Row],[恒久工数]:[一時工数]])</f>
        <v>4</v>
      </c>
      <c r="J127" s="8">
        <f>_xlfn.XLOOKUP(T_FY27[[#This Row],[(作業用)タスク結合名]],FY26工数!$F:$F,FY26工数!$I:$I,0)</f>
        <v>4</v>
      </c>
      <c r="K12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7" s="2" t="str">
        <f>IF(T_FY27[[#This Row],[FY27工数]]=T_FY27[[#This Row],[FY26工数]], "", T_FY27[[#This Row],[FY27工数]]-T_FY27[[#This Row],[FY26工数]])</f>
        <v/>
      </c>
      <c r="M127" s="11">
        <v>10</v>
      </c>
    </row>
    <row r="128" spans="1:13">
      <c r="A128" s="1" t="s">
        <v>11</v>
      </c>
      <c r="B128" s="1" t="s">
        <v>58</v>
      </c>
      <c r="C128" s="1" t="s">
        <v>76</v>
      </c>
      <c r="D128" s="1"/>
      <c r="E128" s="1" t="s">
        <v>77</v>
      </c>
      <c r="F128" s="1" t="str">
        <f>T_FY27[[#This Row],[Eng.]]&amp;T_FY27[[#This Row],[大カテゴリ]]&amp;T_FY27[[#This Row],[中カテゴリ]]&amp;T_FY27[[#This Row],[タスク名]]</f>
        <v>FFGITAC貸引EUC貸引EUC_依頼リストの作成_中間</v>
      </c>
      <c r="G128" s="9">
        <v>2</v>
      </c>
      <c r="H128" s="9"/>
      <c r="I128" s="8">
        <f>SUM(T_FY27[[#This Row],[恒久工数]:[一時工数]])</f>
        <v>2</v>
      </c>
      <c r="J128" s="8">
        <f>_xlfn.XLOOKUP(T_FY27[[#This Row],[(作業用)タスク結合名]],FY26工数!$F:$F,FY26工数!$I:$I,0)</f>
        <v>2</v>
      </c>
      <c r="K12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8" s="2" t="str">
        <f>IF(T_FY27[[#This Row],[FY27工数]]=T_FY27[[#This Row],[FY26工数]], "", T_FY27[[#This Row],[FY27工数]]-T_FY27[[#This Row],[FY26工数]])</f>
        <v/>
      </c>
      <c r="M128" s="11">
        <v>10</v>
      </c>
    </row>
    <row r="129" spans="1:17">
      <c r="A129" s="1" t="s">
        <v>11</v>
      </c>
      <c r="B129" s="1" t="s">
        <v>58</v>
      </c>
      <c r="C129" s="1" t="s">
        <v>76</v>
      </c>
      <c r="D129" s="1"/>
      <c r="E129" s="1" t="s">
        <v>78</v>
      </c>
      <c r="F129" s="1" t="str">
        <f>T_FY27[[#This Row],[Eng.]]&amp;T_FY27[[#This Row],[大カテゴリ]]&amp;T_FY27[[#This Row],[中カテゴリ]]&amp;T_FY27[[#This Row],[タスク名]]</f>
        <v>FFGITAC貸引EUC貸引EUC_検証調書の作成_中間</v>
      </c>
      <c r="G129" s="9">
        <v>14</v>
      </c>
      <c r="H129" s="9"/>
      <c r="I129" s="8">
        <f>SUM(T_FY27[[#This Row],[恒久工数]:[一時工数]])</f>
        <v>14</v>
      </c>
      <c r="J129" s="8">
        <f>_xlfn.XLOOKUP(T_FY27[[#This Row],[(作業用)タスク結合名]],FY26工数!$F:$F,FY26工数!$I:$I,0)</f>
        <v>14</v>
      </c>
      <c r="K12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29" s="2" t="str">
        <f>IF(T_FY27[[#This Row],[FY27工数]]=T_FY27[[#This Row],[FY26工数]], "", T_FY27[[#This Row],[FY27工数]]-T_FY27[[#This Row],[FY26工数]])</f>
        <v/>
      </c>
      <c r="M129" s="11">
        <v>10</v>
      </c>
    </row>
    <row r="130" spans="1:17">
      <c r="A130" s="1" t="s">
        <v>11</v>
      </c>
      <c r="B130" s="1" t="s">
        <v>58</v>
      </c>
      <c r="C130" s="1" t="s">
        <v>76</v>
      </c>
      <c r="D130" s="1"/>
      <c r="E130" s="1" t="s">
        <v>79</v>
      </c>
      <c r="F130" s="1" t="str">
        <f>T_FY27[[#This Row],[Eng.]]&amp;T_FY27[[#This Row],[大カテゴリ]]&amp;T_FY27[[#This Row],[中カテゴリ]]&amp;T_FY27[[#This Row],[タスク名]]</f>
        <v>FFGITAC貸引EUC貸引EUC_依頼リストの作成_期末</v>
      </c>
      <c r="G130" s="9">
        <v>2</v>
      </c>
      <c r="H130" s="9"/>
      <c r="I130" s="8">
        <f>SUM(T_FY27[[#This Row],[恒久工数]:[一時工数]])</f>
        <v>2</v>
      </c>
      <c r="J130" s="8">
        <f>_xlfn.XLOOKUP(T_FY27[[#This Row],[(作業用)タスク結合名]],FY26工数!$F:$F,FY26工数!$I:$I,0)</f>
        <v>2</v>
      </c>
      <c r="K13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0" s="2" t="str">
        <f>IF(T_FY27[[#This Row],[FY27工数]]=T_FY27[[#This Row],[FY26工数]], "", T_FY27[[#This Row],[FY27工数]]-T_FY27[[#This Row],[FY26工数]])</f>
        <v/>
      </c>
      <c r="M130" s="11">
        <v>4</v>
      </c>
    </row>
    <row r="131" spans="1:17">
      <c r="A131" s="1" t="s">
        <v>11</v>
      </c>
      <c r="B131" s="1" t="s">
        <v>58</v>
      </c>
      <c r="C131" s="1" t="s">
        <v>76</v>
      </c>
      <c r="D131" s="1"/>
      <c r="E131" s="1" t="s">
        <v>80</v>
      </c>
      <c r="F131" s="1" t="str">
        <f>T_FY27[[#This Row],[Eng.]]&amp;T_FY27[[#This Row],[大カテゴリ]]&amp;T_FY27[[#This Row],[中カテゴリ]]&amp;T_FY27[[#This Row],[タスク名]]</f>
        <v>FFGITAC貸引EUC貸引EUC_検証調書の作成_期末</v>
      </c>
      <c r="G131" s="9">
        <v>14</v>
      </c>
      <c r="H131" s="9"/>
      <c r="I131" s="8">
        <f>SUM(T_FY27[[#This Row],[恒久工数]:[一時工数]])</f>
        <v>14</v>
      </c>
      <c r="J131" s="8">
        <f>_xlfn.XLOOKUP(T_FY27[[#This Row],[(作業用)タスク結合名]],FY26工数!$F:$F,FY26工数!$I:$I,0)</f>
        <v>14</v>
      </c>
      <c r="K13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1" s="2" t="str">
        <f>IF(T_FY27[[#This Row],[FY27工数]]=T_FY27[[#This Row],[FY26工数]], "", T_FY27[[#This Row],[FY27工数]]-T_FY27[[#This Row],[FY26工数]])</f>
        <v/>
      </c>
      <c r="M131" s="11">
        <v>4</v>
      </c>
    </row>
    <row r="132" spans="1:17">
      <c r="A132" s="1" t="s">
        <v>11</v>
      </c>
      <c r="B132" s="1" t="s">
        <v>58</v>
      </c>
      <c r="C132" s="1" t="s">
        <v>76</v>
      </c>
      <c r="D132" s="1"/>
      <c r="E132" s="1" t="s">
        <v>81</v>
      </c>
      <c r="F132" s="1" t="str">
        <f>T_FY27[[#This Row],[Eng.]]&amp;T_FY27[[#This Row],[大カテゴリ]]&amp;T_FY27[[#This Row],[中カテゴリ]]&amp;T_FY27[[#This Row],[タスク名]]</f>
        <v>FFGITAC貸引EUC貸引EUC_調書レビュー</v>
      </c>
      <c r="G132" s="9">
        <v>4</v>
      </c>
      <c r="H132" s="9"/>
      <c r="I132" s="8">
        <f>SUM(T_FY27[[#This Row],[恒久工数]:[一時工数]])</f>
        <v>4</v>
      </c>
      <c r="J132" s="8">
        <f>_xlfn.XLOOKUP(T_FY27[[#This Row],[(作業用)タスク結合名]],FY26工数!$F:$F,FY26工数!$I:$I,0)</f>
        <v>4</v>
      </c>
      <c r="K13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2" s="2" t="str">
        <f>IF(T_FY27[[#This Row],[FY27工数]]=T_FY27[[#This Row],[FY26工数]], "", T_FY27[[#This Row],[FY27工数]]-T_FY27[[#This Row],[FY26工数]])</f>
        <v/>
      </c>
      <c r="M132" s="11">
        <v>4</v>
      </c>
    </row>
    <row r="133" spans="1:17">
      <c r="A133" s="1" t="s">
        <v>11</v>
      </c>
      <c r="B133" s="1" t="s">
        <v>58</v>
      </c>
      <c r="C133" s="1" t="s">
        <v>82</v>
      </c>
      <c r="D133" s="1"/>
      <c r="E133" s="1" t="s">
        <v>83</v>
      </c>
      <c r="F133" s="1" t="str">
        <f>T_FY27[[#This Row],[Eng.]]&amp;T_FY27[[#This Row],[大カテゴリ]]&amp;T_FY27[[#This Row],[中カテゴリ]]&amp;T_FY27[[#This Row],[タスク名]]</f>
        <v>FFGITACSmartAuSmartAudit計画書/結果説明への対応</v>
      </c>
      <c r="G133" s="9">
        <v>4</v>
      </c>
      <c r="H133" s="9"/>
      <c r="I133" s="8">
        <f>SUM(T_FY27[[#This Row],[恒久工数]:[一時工数]])</f>
        <v>4</v>
      </c>
      <c r="J133" s="8">
        <f>_xlfn.XLOOKUP(T_FY27[[#This Row],[(作業用)タスク結合名]],FY26工数!$F:$F,FY26工数!$I:$I,0)</f>
        <v>4</v>
      </c>
      <c r="K13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3" s="2" t="str">
        <f>IF(T_FY27[[#This Row],[FY27工数]]=T_FY27[[#This Row],[FY26工数]], "", T_FY27[[#This Row],[FY27工数]]-T_FY27[[#This Row],[FY26工数]])</f>
        <v/>
      </c>
      <c r="M133" s="11">
        <v>7</v>
      </c>
    </row>
    <row r="134" spans="1:17">
      <c r="A134" s="1" t="s">
        <v>11</v>
      </c>
      <c r="B134" s="1" t="s">
        <v>58</v>
      </c>
      <c r="C134" s="1" t="s">
        <v>82</v>
      </c>
      <c r="D134" s="1"/>
      <c r="E134" s="1" t="s">
        <v>84</v>
      </c>
      <c r="F134" s="1" t="str">
        <f>T_FY27[[#This Row],[Eng.]]&amp;T_FY27[[#This Row],[大カテゴリ]]&amp;T_FY27[[#This Row],[中カテゴリ]]&amp;T_FY27[[#This Row],[タスク名]]</f>
        <v>FFGITACSmartAuMNG-Consumer Lending Analyzer対応</v>
      </c>
      <c r="G134" s="9">
        <v>0</v>
      </c>
      <c r="H134" s="9"/>
      <c r="I134" s="8">
        <f>SUM(T_FY27[[#This Row],[恒久工数]:[一時工数]])</f>
        <v>0</v>
      </c>
      <c r="J134" s="8">
        <f>_xlfn.XLOOKUP(T_FY27[[#This Row],[(作業用)タスク結合名]],FY26工数!$F:$F,FY26工数!$I:$I,0)</f>
        <v>0</v>
      </c>
      <c r="K13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4" s="2" t="str">
        <f>IF(T_FY27[[#This Row],[FY27工数]]=T_FY27[[#This Row],[FY26工数]], "", T_FY27[[#This Row],[FY27工数]]-T_FY27[[#This Row],[FY26工数]])</f>
        <v/>
      </c>
      <c r="M134" s="11" t="s">
        <v>176</v>
      </c>
    </row>
    <row r="135" spans="1:17">
      <c r="A135" s="1" t="s">
        <v>11</v>
      </c>
      <c r="B135" s="1" t="s">
        <v>58</v>
      </c>
      <c r="C135" s="1" t="s">
        <v>82</v>
      </c>
      <c r="D135" s="1"/>
      <c r="E135" s="1" t="s">
        <v>85</v>
      </c>
      <c r="F135" s="1" t="str">
        <f>T_FY27[[#This Row],[Eng.]]&amp;T_FY27[[#This Row],[大カテゴリ]]&amp;T_FY27[[#This Row],[中カテゴリ]]&amp;T_FY27[[#This Row],[タスク名]]</f>
        <v>FFGITACSmartAuBOF:Cash Analyzer対応</v>
      </c>
      <c r="G135" s="9">
        <v>0</v>
      </c>
      <c r="H135" s="9"/>
      <c r="I135" s="8">
        <f>SUM(T_FY27[[#This Row],[恒久工数]:[一時工数]])</f>
        <v>0</v>
      </c>
      <c r="J135" s="8">
        <f>_xlfn.XLOOKUP(T_FY27[[#This Row],[(作業用)タスク結合名]],FY26工数!$F:$F,FY26工数!$I:$I,0)</f>
        <v>0</v>
      </c>
      <c r="K13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5" s="2" t="str">
        <f>IF(T_FY27[[#This Row],[FY27工数]]=T_FY27[[#This Row],[FY26工数]], "", T_FY27[[#This Row],[FY27工数]]-T_FY27[[#This Row],[FY26工数]])</f>
        <v/>
      </c>
      <c r="M135" s="11" t="s">
        <v>176</v>
      </c>
    </row>
    <row r="136" spans="1:17">
      <c r="A136" s="1" t="s">
        <v>11</v>
      </c>
      <c r="B136" s="1" t="s">
        <v>86</v>
      </c>
      <c r="C136" s="1" t="s">
        <v>13</v>
      </c>
      <c r="D136" s="1"/>
      <c r="E136" s="1" t="s">
        <v>87</v>
      </c>
      <c r="F136" s="1" t="str">
        <f>T_FY27[[#This Row],[Eng.]]&amp;T_FY27[[#This Row],[大カテゴリ]]&amp;T_FY27[[#This Row],[中カテゴリ]]&amp;T_FY27[[#This Row],[タスク名]]</f>
        <v>FFG個別工数WTAWS基盤の調書束ね</v>
      </c>
      <c r="G136" s="9">
        <v>16</v>
      </c>
      <c r="H136" s="9"/>
      <c r="I136" s="8">
        <f>SUM(T_FY27[[#This Row],[恒久工数]:[一時工数]])</f>
        <v>16</v>
      </c>
      <c r="J136" s="8">
        <f>_xlfn.XLOOKUP(T_FY27[[#This Row],[(作業用)タスク結合名]],FY26工数!$F:$F,FY26工数!$I:$I,0)</f>
        <v>40</v>
      </c>
      <c r="K13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136" s="2">
        <f>IF(T_FY27[[#This Row],[FY27工数]]=T_FY27[[#This Row],[FY26工数]], "", T_FY27[[#This Row],[FY27工数]]-T_FY27[[#This Row],[FY26工数]])</f>
        <v>-24</v>
      </c>
      <c r="M136" s="11">
        <v>9</v>
      </c>
      <c r="Q136" t="s">
        <v>211</v>
      </c>
    </row>
    <row r="137" spans="1:17">
      <c r="A137" s="1" t="s">
        <v>11</v>
      </c>
      <c r="B137" s="1" t="s">
        <v>86</v>
      </c>
      <c r="C137" s="1" t="s">
        <v>13</v>
      </c>
      <c r="D137" s="1"/>
      <c r="E137" s="1" t="s">
        <v>88</v>
      </c>
      <c r="F137" s="1" t="str">
        <f>T_FY27[[#This Row],[Eng.]]&amp;T_FY27[[#This Row],[大カテゴリ]]&amp;T_FY27[[#This Row],[中カテゴリ]]&amp;T_FY27[[#This Row],[タスク名]]</f>
        <v>FFG個別工数WTEYJP265の調書フォーマット変更</v>
      </c>
      <c r="G137" s="9"/>
      <c r="H137" s="9">
        <v>22</v>
      </c>
      <c r="I137" s="8">
        <f>SUM(T_FY27[[#This Row],[恒久工数]:[一時工数]])</f>
        <v>22</v>
      </c>
      <c r="J137" s="8">
        <f>_xlfn.XLOOKUP(T_FY27[[#This Row],[(作業用)タスク結合名]],FY26工数!$F:$F,FY26工数!$I:$I,0)</f>
        <v>0</v>
      </c>
      <c r="K13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追加</v>
      </c>
      <c r="L137" s="2">
        <f>IF(T_FY27[[#This Row],[FY27工数]]=T_FY27[[#This Row],[FY26工数]], "", T_FY27[[#This Row],[FY27工数]]-T_FY27[[#This Row],[FY26工数]])</f>
        <v>22</v>
      </c>
      <c r="M137" s="11">
        <v>6</v>
      </c>
      <c r="Q137" t="s">
        <v>210</v>
      </c>
    </row>
    <row r="138" spans="1:17">
      <c r="A138" s="1" t="s">
        <v>11</v>
      </c>
      <c r="B138" s="1" t="s">
        <v>86</v>
      </c>
      <c r="C138" s="1" t="s">
        <v>89</v>
      </c>
      <c r="D138" s="1"/>
      <c r="E138" s="1" t="s">
        <v>90</v>
      </c>
      <c r="F138" s="1" t="str">
        <f>T_FY27[[#This Row],[Eng.]]&amp;T_FY27[[#This Row],[大カテゴリ]]&amp;T_FY27[[#This Row],[中カテゴリ]]&amp;T_FY27[[#This Row],[タスク名]]</f>
        <v>FFG個別工数その他勘定系RCM再検討</v>
      </c>
      <c r="G138" s="9">
        <v>0</v>
      </c>
      <c r="H138" s="9"/>
      <c r="I138" s="8">
        <f>SUM(T_FY27[[#This Row],[恒久工数]:[一時工数]])</f>
        <v>0</v>
      </c>
      <c r="J138" s="8">
        <f>_xlfn.XLOOKUP(T_FY27[[#This Row],[(作業用)タスク結合名]],FY26工数!$F:$F,FY26工数!$I:$I,0)</f>
        <v>0</v>
      </c>
      <c r="K13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38" s="2" t="str">
        <f>IF(T_FY27[[#This Row],[FY27工数]]=T_FY27[[#This Row],[FY26工数]], "", T_FY27[[#This Row],[FY27工数]]-T_FY27[[#This Row],[FY26工数]])</f>
        <v/>
      </c>
      <c r="M138" s="11" t="s">
        <v>176</v>
      </c>
    </row>
    <row r="139" spans="1:17">
      <c r="A139" s="1" t="s">
        <v>11</v>
      </c>
      <c r="B139" s="1" t="s">
        <v>86</v>
      </c>
      <c r="C139" s="1" t="s">
        <v>89</v>
      </c>
      <c r="D139" s="1"/>
      <c r="E139" s="1" t="s">
        <v>91</v>
      </c>
      <c r="F139" s="1" t="str">
        <f>T_FY27[[#This Row],[Eng.]]&amp;T_FY27[[#This Row],[大カテゴリ]]&amp;T_FY27[[#This Row],[中カテゴリ]]&amp;T_FY27[[#This Row],[タスク名]]</f>
        <v>FFG個別工数その他融資支援RCM再検討</v>
      </c>
      <c r="G139" s="9">
        <v>0</v>
      </c>
      <c r="H139" s="9"/>
      <c r="I139" s="8">
        <f>SUM(T_FY27[[#This Row],[恒久工数]:[一時工数]])</f>
        <v>0</v>
      </c>
      <c r="J139" s="8">
        <f>_xlfn.XLOOKUP(T_FY27[[#This Row],[(作業用)タスク結合名]],FY26工数!$F:$F,FY26工数!$I:$I,0)</f>
        <v>24</v>
      </c>
      <c r="K13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削除</v>
      </c>
      <c r="L139" s="2">
        <f>IF(T_FY27[[#This Row],[FY27工数]]=T_FY27[[#This Row],[FY26工数]], "", T_FY27[[#This Row],[FY27工数]]-T_FY27[[#This Row],[FY26工数]])</f>
        <v>-24</v>
      </c>
      <c r="M139" s="11" t="s">
        <v>176</v>
      </c>
      <c r="Q139" t="s">
        <v>209</v>
      </c>
    </row>
    <row r="140" spans="1:17">
      <c r="A140" s="1" t="s">
        <v>11</v>
      </c>
      <c r="B140" s="1" t="s">
        <v>86</v>
      </c>
      <c r="C140" s="1" t="s">
        <v>13</v>
      </c>
      <c r="D140" s="1" t="s">
        <v>141</v>
      </c>
      <c r="E140" s="1" t="s">
        <v>92</v>
      </c>
      <c r="F140" s="1" t="str">
        <f>T_FY27[[#This Row],[Eng.]]&amp;T_FY27[[#This Row],[大カテゴリ]]&amp;T_FY27[[#This Row],[中カテゴリ]]&amp;T_FY27[[#This Row],[タスク名]]</f>
        <v>FFG個別工数WTサイバーリスク評価</v>
      </c>
      <c r="G140" s="9">
        <v>20</v>
      </c>
      <c r="H140" s="9"/>
      <c r="I140" s="8">
        <f>SUM(T_FY27[[#This Row],[恒久工数]:[一時工数]])</f>
        <v>20</v>
      </c>
      <c r="J140" s="8">
        <f>_xlfn.XLOOKUP(T_FY27[[#This Row],[(作業用)タスク結合名]],FY26工数!$F:$F,FY26工数!$I:$I,0)</f>
        <v>52</v>
      </c>
      <c r="K14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140" s="2">
        <f>IF(T_FY27[[#This Row],[FY27工数]]=T_FY27[[#This Row],[FY26工数]], "", T_FY27[[#This Row],[FY27工数]]-T_FY27[[#This Row],[FY26工数]])</f>
        <v>-32</v>
      </c>
      <c r="M140" s="11">
        <v>9</v>
      </c>
      <c r="Q140" t="s">
        <v>208</v>
      </c>
    </row>
    <row r="141" spans="1:17">
      <c r="A141" s="1" t="s">
        <v>11</v>
      </c>
      <c r="B141" s="1" t="s">
        <v>86</v>
      </c>
      <c r="C141" s="1" t="s">
        <v>15</v>
      </c>
      <c r="D141" s="1" t="s">
        <v>141</v>
      </c>
      <c r="E141" s="1" t="s">
        <v>92</v>
      </c>
      <c r="F141" s="1" t="str">
        <f>T_FY27[[#This Row],[Eng.]]&amp;T_FY27[[#This Row],[大カテゴリ]]&amp;T_FY27[[#This Row],[中カテゴリ]]&amp;T_FY27[[#This Row],[タスク名]]</f>
        <v>FFG個別工数TOCサイバーリスク評価</v>
      </c>
      <c r="G141" s="9">
        <v>20</v>
      </c>
      <c r="H141" s="9"/>
      <c r="I141" s="8">
        <f>SUM(T_FY27[[#This Row],[恒久工数]:[一時工数]])</f>
        <v>20</v>
      </c>
      <c r="J141" s="8">
        <f>_xlfn.XLOOKUP(T_FY27[[#This Row],[(作業用)タスク結合名]],FY26工数!$F:$F,FY26工数!$I:$I,0)</f>
        <v>52</v>
      </c>
      <c r="K14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>変更</v>
      </c>
      <c r="L141" s="2">
        <f>IF(T_FY27[[#This Row],[FY27工数]]=T_FY27[[#This Row],[FY26工数]], "", T_FY27[[#This Row],[FY27工数]]-T_FY27[[#This Row],[FY26工数]])</f>
        <v>-32</v>
      </c>
      <c r="M141" s="11">
        <v>2</v>
      </c>
      <c r="Q141" t="s">
        <v>208</v>
      </c>
    </row>
    <row r="142" spans="1:17">
      <c r="A142" s="1" t="s">
        <v>11</v>
      </c>
      <c r="B142" s="1" t="s">
        <v>86</v>
      </c>
      <c r="C142" s="1" t="s">
        <v>16</v>
      </c>
      <c r="D142" s="1" t="s">
        <v>141</v>
      </c>
      <c r="E142" s="1" t="s">
        <v>92</v>
      </c>
      <c r="F142" s="1" t="str">
        <f>T_FY27[[#This Row],[Eng.]]&amp;T_FY27[[#This Row],[大カテゴリ]]&amp;T_FY27[[#This Row],[中カテゴリ]]&amp;T_FY27[[#This Row],[タスク名]]</f>
        <v>FFG個別工数RFサイバーリスク評価</v>
      </c>
      <c r="G142" s="9">
        <v>10</v>
      </c>
      <c r="H142" s="9"/>
      <c r="I142" s="8">
        <f>SUM(T_FY27[[#This Row],[恒久工数]:[一時工数]])</f>
        <v>10</v>
      </c>
      <c r="J142" s="8">
        <f>_xlfn.XLOOKUP(T_FY27[[#This Row],[(作業用)タスク結合名]],FY26工数!$F:$F,FY26工数!$I:$I,0)</f>
        <v>10</v>
      </c>
      <c r="K14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2" s="2" t="str">
        <f>IF(T_FY27[[#This Row],[FY27工数]]=T_FY27[[#This Row],[FY26工数]], "", T_FY27[[#This Row],[FY27工数]]-T_FY27[[#This Row],[FY26工数]])</f>
        <v/>
      </c>
      <c r="M142" s="11">
        <v>4</v>
      </c>
    </row>
    <row r="143" spans="1:17">
      <c r="A143" s="1" t="s">
        <v>11</v>
      </c>
      <c r="B143" s="1" t="s">
        <v>86</v>
      </c>
      <c r="C143" s="1" t="s">
        <v>89</v>
      </c>
      <c r="D143" s="1"/>
      <c r="E143" s="1" t="s">
        <v>93</v>
      </c>
      <c r="F143" s="1" t="str">
        <f>T_FY27[[#This Row],[Eng.]]&amp;T_FY27[[#This Row],[大カテゴリ]]&amp;T_FY27[[#This Row],[中カテゴリ]]&amp;T_FY27[[#This Row],[タスク名]]</f>
        <v>FFG個別工数その他JSOX改訂対応</v>
      </c>
      <c r="G143" s="9">
        <v>16</v>
      </c>
      <c r="H143" s="9"/>
      <c r="I143" s="8">
        <f>SUM(T_FY27[[#This Row],[恒久工数]:[一時工数]])</f>
        <v>16</v>
      </c>
      <c r="J143" s="8">
        <f>_xlfn.XLOOKUP(T_FY27[[#This Row],[(作業用)タスク結合名]],FY26工数!$F:$F,FY26工数!$I:$I,0)</f>
        <v>16</v>
      </c>
      <c r="K14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3" s="2" t="str">
        <f>IF(T_FY27[[#This Row],[FY27工数]]=T_FY27[[#This Row],[FY26工数]], "", T_FY27[[#This Row],[FY27工数]]-T_FY27[[#This Row],[FY26工数]])</f>
        <v/>
      </c>
      <c r="M143" s="11">
        <v>9</v>
      </c>
    </row>
    <row r="144" spans="1:17">
      <c r="A144" s="1" t="s">
        <v>11</v>
      </c>
      <c r="B144" s="1" t="s">
        <v>86</v>
      </c>
      <c r="C144" s="1" t="s">
        <v>89</v>
      </c>
      <c r="D144" s="1"/>
      <c r="E144" s="1" t="s">
        <v>94</v>
      </c>
      <c r="F144" s="1" t="str">
        <f>T_FY27[[#This Row],[Eng.]]&amp;T_FY27[[#This Row],[大カテゴリ]]&amp;T_FY27[[#This Row],[中カテゴリ]]&amp;T_FY27[[#This Row],[タスク名]]</f>
        <v>FFG個別工数その他勉強会</v>
      </c>
      <c r="G144" s="9">
        <v>24</v>
      </c>
      <c r="H144" s="9"/>
      <c r="I144" s="8">
        <f>SUM(T_FY27[[#This Row],[恒久工数]:[一時工数]])</f>
        <v>24</v>
      </c>
      <c r="J144" s="8">
        <f>_xlfn.XLOOKUP(T_FY27[[#This Row],[(作業用)タスク結合名]],FY26工数!$F:$F,FY26工数!$I:$I,0)</f>
        <v>24</v>
      </c>
      <c r="K14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4" s="2" t="str">
        <f>IF(T_FY27[[#This Row],[FY27工数]]=T_FY27[[#This Row],[FY26工数]], "", T_FY27[[#This Row],[FY27工数]]-T_FY27[[#This Row],[FY26工数]])</f>
        <v/>
      </c>
      <c r="M144" s="11">
        <v>6</v>
      </c>
    </row>
    <row r="145" spans="1:13">
      <c r="A145" s="1" t="s">
        <v>11</v>
      </c>
      <c r="B145" s="1" t="s">
        <v>86</v>
      </c>
      <c r="C145" s="1" t="s">
        <v>13</v>
      </c>
      <c r="D145" s="1"/>
      <c r="E145" s="1" t="s">
        <v>95</v>
      </c>
      <c r="F145" s="1" t="str">
        <f>T_FY27[[#This Row],[Eng.]]&amp;T_FY27[[#This Row],[大カテゴリ]]&amp;T_FY27[[#This Row],[中カテゴリ]]&amp;T_FY27[[#This Row],[タスク名]]</f>
        <v>FFG個別工数WT評価結果資料作成</v>
      </c>
      <c r="G145" s="9">
        <v>4</v>
      </c>
      <c r="H145" s="9"/>
      <c r="I145" s="8">
        <f>SUM(T_FY27[[#This Row],[恒久工数]:[一時工数]])</f>
        <v>4</v>
      </c>
      <c r="J145" s="8">
        <f>_xlfn.XLOOKUP(T_FY27[[#This Row],[(作業用)タスク結合名]],FY26工数!$F:$F,FY26工数!$I:$I,0)</f>
        <v>4</v>
      </c>
      <c r="K14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5" s="2" t="str">
        <f>IF(T_FY27[[#This Row],[FY27工数]]=T_FY27[[#This Row],[FY26工数]], "", T_FY27[[#This Row],[FY27工数]]-T_FY27[[#This Row],[FY26工数]])</f>
        <v/>
      </c>
      <c r="M145" s="11">
        <v>9</v>
      </c>
    </row>
    <row r="146" spans="1:13">
      <c r="A146" s="1" t="s">
        <v>11</v>
      </c>
      <c r="B146" s="1" t="s">
        <v>86</v>
      </c>
      <c r="C146" s="1" t="s">
        <v>15</v>
      </c>
      <c r="D146" s="1"/>
      <c r="E146" s="1" t="s">
        <v>95</v>
      </c>
      <c r="F146" s="1" t="str">
        <f>T_FY27[[#This Row],[Eng.]]&amp;T_FY27[[#This Row],[大カテゴリ]]&amp;T_FY27[[#This Row],[中カテゴリ]]&amp;T_FY27[[#This Row],[タスク名]]</f>
        <v>FFG個別工数TOC評価結果資料作成</v>
      </c>
      <c r="G146" s="9">
        <v>4</v>
      </c>
      <c r="H146" s="9"/>
      <c r="I146" s="8">
        <f>SUM(T_FY27[[#This Row],[恒久工数]:[一時工数]])</f>
        <v>4</v>
      </c>
      <c r="J146" s="8">
        <f>_xlfn.XLOOKUP(T_FY27[[#This Row],[(作業用)タスク結合名]],FY26工数!$F:$F,FY26工数!$I:$I,0)</f>
        <v>4</v>
      </c>
      <c r="K14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6" s="2" t="str">
        <f>IF(T_FY27[[#This Row],[FY27工数]]=T_FY27[[#This Row],[FY26工数]], "", T_FY27[[#This Row],[FY27工数]]-T_FY27[[#This Row],[FY26工数]])</f>
        <v/>
      </c>
      <c r="M146" s="11">
        <v>2</v>
      </c>
    </row>
    <row r="147" spans="1:13">
      <c r="A147" s="1" t="s">
        <v>11</v>
      </c>
      <c r="B147" s="1" t="s">
        <v>86</v>
      </c>
      <c r="C147" s="1" t="s">
        <v>13</v>
      </c>
      <c r="D147" s="1"/>
      <c r="E147" s="1" t="s">
        <v>96</v>
      </c>
      <c r="F147" s="1" t="str">
        <f>T_FY27[[#This Row],[Eng.]]&amp;T_FY27[[#This Row],[大カテゴリ]]&amp;T_FY27[[#This Row],[中カテゴリ]]&amp;T_FY27[[#This Row],[タスク名]]</f>
        <v>FFG個別工数WT依頼リスト確認・依頼フォルダ作成</v>
      </c>
      <c r="G147" s="9">
        <v>16</v>
      </c>
      <c r="H147" s="9"/>
      <c r="I147" s="8">
        <f>SUM(T_FY27[[#This Row],[恒久工数]:[一時工数]])</f>
        <v>16</v>
      </c>
      <c r="J147" s="8">
        <f>_xlfn.XLOOKUP(T_FY27[[#This Row],[(作業用)タスク結合名]],FY26工数!$F:$F,FY26工数!$I:$I,0)</f>
        <v>16</v>
      </c>
      <c r="K14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7" s="2" t="str">
        <f>IF(T_FY27[[#This Row],[FY27工数]]=T_FY27[[#This Row],[FY26工数]], "", T_FY27[[#This Row],[FY27工数]]-T_FY27[[#This Row],[FY26工数]])</f>
        <v/>
      </c>
      <c r="M147" s="11">
        <v>8</v>
      </c>
    </row>
    <row r="148" spans="1:13">
      <c r="A148" s="1" t="s">
        <v>11</v>
      </c>
      <c r="B148" s="1" t="s">
        <v>86</v>
      </c>
      <c r="C148" s="1" t="s">
        <v>15</v>
      </c>
      <c r="D148" s="1"/>
      <c r="E148" s="1" t="s">
        <v>96</v>
      </c>
      <c r="F148" s="1" t="str">
        <f>T_FY27[[#This Row],[Eng.]]&amp;T_FY27[[#This Row],[大カテゴリ]]&amp;T_FY27[[#This Row],[中カテゴリ]]&amp;T_FY27[[#This Row],[タスク名]]</f>
        <v>FFG個別工数TOC依頼リスト確認・依頼フォルダ作成</v>
      </c>
      <c r="G148" s="9">
        <v>16</v>
      </c>
      <c r="H148" s="9"/>
      <c r="I148" s="8">
        <f>SUM(T_FY27[[#This Row],[恒久工数]:[一時工数]])</f>
        <v>16</v>
      </c>
      <c r="J148" s="8">
        <f>_xlfn.XLOOKUP(T_FY27[[#This Row],[(作業用)タスク結合名]],FY26工数!$F:$F,FY26工数!$I:$I,0)</f>
        <v>16</v>
      </c>
      <c r="K14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8" s="2" t="str">
        <f>IF(T_FY27[[#This Row],[FY27工数]]=T_FY27[[#This Row],[FY26工数]], "", T_FY27[[#This Row],[FY27工数]]-T_FY27[[#This Row],[FY26工数]])</f>
        <v/>
      </c>
      <c r="M148" s="11">
        <v>12</v>
      </c>
    </row>
    <row r="149" spans="1:13">
      <c r="A149" s="1" t="s">
        <v>11</v>
      </c>
      <c r="B149" s="1" t="s">
        <v>86</v>
      </c>
      <c r="C149" s="1" t="s">
        <v>16</v>
      </c>
      <c r="D149" s="1"/>
      <c r="E149" s="1" t="s">
        <v>96</v>
      </c>
      <c r="F149" s="1" t="str">
        <f>T_FY27[[#This Row],[Eng.]]&amp;T_FY27[[#This Row],[大カテゴリ]]&amp;T_FY27[[#This Row],[中カテゴリ]]&amp;T_FY27[[#This Row],[タスク名]]</f>
        <v>FFG個別工数RF依頼リスト確認・依頼フォルダ作成</v>
      </c>
      <c r="G149" s="9">
        <v>4</v>
      </c>
      <c r="H149" s="9"/>
      <c r="I149" s="8">
        <f>SUM(T_FY27[[#This Row],[恒久工数]:[一時工数]])</f>
        <v>4</v>
      </c>
      <c r="J149" s="8">
        <f>_xlfn.XLOOKUP(T_FY27[[#This Row],[(作業用)タスク結合名]],FY26工数!$F:$F,FY26工数!$I:$I,0)</f>
        <v>4</v>
      </c>
      <c r="K14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49" s="2" t="str">
        <f>IF(T_FY27[[#This Row],[FY27工数]]=T_FY27[[#This Row],[FY26工数]], "", T_FY27[[#This Row],[FY27工数]]-T_FY27[[#This Row],[FY26工数]])</f>
        <v/>
      </c>
      <c r="M149" s="11">
        <v>3</v>
      </c>
    </row>
    <row r="150" spans="1:13">
      <c r="A150" s="1" t="s">
        <v>11</v>
      </c>
      <c r="B150" s="1" t="s">
        <v>97</v>
      </c>
      <c r="C150" s="1" t="s">
        <v>98</v>
      </c>
      <c r="D150" s="1"/>
      <c r="E150" s="1" t="s">
        <v>99</v>
      </c>
      <c r="F150" s="1" t="str">
        <f>T_FY27[[#This Row],[Eng.]]&amp;T_FY27[[#This Row],[大カテゴリ]]&amp;T_FY27[[#This Row],[中カテゴリ]]&amp;T_FY27[[#This Row],[タスク名]]</f>
        <v>FFG共通工数計画会社向け計画説明資料</v>
      </c>
      <c r="G150" s="9">
        <v>24</v>
      </c>
      <c r="H150" s="9"/>
      <c r="I150" s="8">
        <f>SUM(T_FY27[[#This Row],[恒久工数]:[一時工数]])</f>
        <v>24</v>
      </c>
      <c r="J150" s="8">
        <f>_xlfn.XLOOKUP(T_FY27[[#This Row],[(作業用)タスク結合名]],FY26工数!$F:$F,FY26工数!$I:$I,0)</f>
        <v>24</v>
      </c>
      <c r="K15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0" s="2" t="str">
        <f>IF(T_FY27[[#This Row],[FY27工数]]=T_FY27[[#This Row],[FY26工数]], "", T_FY27[[#This Row],[FY27工数]]-T_FY27[[#This Row],[FY26工数]])</f>
        <v/>
      </c>
      <c r="M150" s="11">
        <v>6</v>
      </c>
    </row>
    <row r="151" spans="1:13">
      <c r="A151" s="1" t="s">
        <v>11</v>
      </c>
      <c r="B151" s="1" t="s">
        <v>97</v>
      </c>
      <c r="C151" s="1" t="s">
        <v>98</v>
      </c>
      <c r="D151" s="1"/>
      <c r="E151" s="1" t="s">
        <v>100</v>
      </c>
      <c r="F151" s="1" t="str">
        <f>T_FY27[[#This Row],[Eng.]]&amp;T_FY27[[#This Row],[大カテゴリ]]&amp;T_FY27[[#This Row],[中カテゴリ]]&amp;T_FY27[[#This Row],[タスク名]]</f>
        <v>FFG共通工数計画コアチーム向け計画説明資料</v>
      </c>
      <c r="G151" s="9">
        <v>24</v>
      </c>
      <c r="H151" s="9"/>
      <c r="I151" s="8">
        <f>SUM(T_FY27[[#This Row],[恒久工数]:[一時工数]])</f>
        <v>24</v>
      </c>
      <c r="J151" s="8">
        <f>_xlfn.XLOOKUP(T_FY27[[#This Row],[(作業用)タスク結合名]],FY26工数!$F:$F,FY26工数!$I:$I,0)</f>
        <v>24</v>
      </c>
      <c r="K15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1" s="2" t="str">
        <f>IF(T_FY27[[#This Row],[FY27工数]]=T_FY27[[#This Row],[FY26工数]], "", T_FY27[[#This Row],[FY27工数]]-T_FY27[[#This Row],[FY26工数]])</f>
        <v/>
      </c>
      <c r="M151" s="11">
        <v>6</v>
      </c>
    </row>
    <row r="152" spans="1:13">
      <c r="A152" s="1" t="s">
        <v>11</v>
      </c>
      <c r="B152" s="1" t="s">
        <v>97</v>
      </c>
      <c r="C152" s="1" t="s">
        <v>98</v>
      </c>
      <c r="D152" s="1"/>
      <c r="E152" s="1" t="s">
        <v>101</v>
      </c>
      <c r="F152" s="1" t="str">
        <f>T_FY27[[#This Row],[Eng.]]&amp;T_FY27[[#This Row],[大カテゴリ]]&amp;T_FY27[[#This Row],[中カテゴリ]]&amp;T_FY27[[#This Row],[タスク名]]</f>
        <v>FFG共通工数計画計画EDAP会議資料</v>
      </c>
      <c r="G152" s="9">
        <v>1</v>
      </c>
      <c r="H152" s="9"/>
      <c r="I152" s="8">
        <f>SUM(T_FY27[[#This Row],[恒久工数]:[一時工数]])</f>
        <v>1</v>
      </c>
      <c r="J152" s="8">
        <f>_xlfn.XLOOKUP(T_FY27[[#This Row],[(作業用)タスク結合名]],FY26工数!$F:$F,FY26工数!$I:$I,0)</f>
        <v>1</v>
      </c>
      <c r="K15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2" s="2" t="str">
        <f>IF(T_FY27[[#This Row],[FY27工数]]=T_FY27[[#This Row],[FY26工数]], "", T_FY27[[#This Row],[FY27工数]]-T_FY27[[#This Row],[FY26工数]])</f>
        <v/>
      </c>
      <c r="M152" s="11">
        <v>6</v>
      </c>
    </row>
    <row r="153" spans="1:13">
      <c r="A153" s="1" t="s">
        <v>11</v>
      </c>
      <c r="B153" s="1" t="s">
        <v>97</v>
      </c>
      <c r="C153" s="1" t="s">
        <v>98</v>
      </c>
      <c r="D153" s="1"/>
      <c r="E153" s="1" t="s">
        <v>102</v>
      </c>
      <c r="F153" s="1" t="str">
        <f>T_FY27[[#This Row],[Eng.]]&amp;T_FY27[[#This Row],[大カテゴリ]]&amp;T_FY27[[#This Row],[中カテゴリ]]&amp;T_FY27[[#This Row],[タスク名]]</f>
        <v>FFG共通工数計画230GL</v>
      </c>
      <c r="G153" s="9">
        <v>4</v>
      </c>
      <c r="H153" s="9"/>
      <c r="I153" s="8">
        <f>SUM(T_FY27[[#This Row],[恒久工数]:[一時工数]])</f>
        <v>4</v>
      </c>
      <c r="J153" s="8">
        <f>_xlfn.XLOOKUP(T_FY27[[#This Row],[(作業用)タスク結合名]],FY26工数!$F:$F,FY26工数!$I:$I,0)</f>
        <v>4</v>
      </c>
      <c r="K15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3" s="2" t="str">
        <f>IF(T_FY27[[#This Row],[FY27工数]]=T_FY27[[#This Row],[FY26工数]], "", T_FY27[[#This Row],[FY27工数]]-T_FY27[[#This Row],[FY26工数]])</f>
        <v/>
      </c>
      <c r="M153" s="11">
        <v>7</v>
      </c>
    </row>
    <row r="154" spans="1:13">
      <c r="A154" s="1" t="s">
        <v>11</v>
      </c>
      <c r="B154" s="1" t="s">
        <v>97</v>
      </c>
      <c r="C154" s="1" t="s">
        <v>98</v>
      </c>
      <c r="D154" s="1"/>
      <c r="E154" s="1" t="s">
        <v>103</v>
      </c>
      <c r="F154" s="1" t="str">
        <f>T_FY27[[#This Row],[Eng.]]&amp;T_FY27[[#This Row],[大カテゴリ]]&amp;T_FY27[[#This Row],[中カテゴリ]]&amp;T_FY27[[#This Row],[タスク名]]</f>
        <v>FFG共通工数計画システム概要ワークシート</v>
      </c>
      <c r="G154" s="9">
        <v>1</v>
      </c>
      <c r="H154" s="9"/>
      <c r="I154" s="8">
        <f>SUM(T_FY27[[#This Row],[恒久工数]:[一時工数]])</f>
        <v>1</v>
      </c>
      <c r="J154" s="8">
        <f>_xlfn.XLOOKUP(T_FY27[[#This Row],[(作業用)タスク結合名]],FY26工数!$F:$F,FY26工数!$I:$I,0)</f>
        <v>1</v>
      </c>
      <c r="K15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4" s="2" t="str">
        <f>IF(T_FY27[[#This Row],[FY27工数]]=T_FY27[[#This Row],[FY26工数]], "", T_FY27[[#This Row],[FY27工数]]-T_FY27[[#This Row],[FY26工数]])</f>
        <v/>
      </c>
      <c r="M154" s="11">
        <v>7</v>
      </c>
    </row>
    <row r="155" spans="1:13">
      <c r="A155" s="1" t="s">
        <v>11</v>
      </c>
      <c r="B155" s="1" t="s">
        <v>97</v>
      </c>
      <c r="C155" s="1" t="s">
        <v>98</v>
      </c>
      <c r="D155" s="1"/>
      <c r="E155" s="1" t="s">
        <v>104</v>
      </c>
      <c r="F155" s="1" t="str">
        <f>T_FY27[[#This Row],[Eng.]]&amp;T_FY27[[#This Row],[大カテゴリ]]&amp;T_FY27[[#This Row],[中カテゴリ]]&amp;T_FY27[[#This Row],[タスク名]]</f>
        <v>FFG共通工数計画IT環境ワークシート</v>
      </c>
      <c r="G155" s="9">
        <v>1</v>
      </c>
      <c r="H155" s="9"/>
      <c r="I155" s="8">
        <f>SUM(T_FY27[[#This Row],[恒久工数]:[一時工数]])</f>
        <v>1</v>
      </c>
      <c r="J155" s="8">
        <f>_xlfn.XLOOKUP(T_FY27[[#This Row],[(作業用)タスク結合名]],FY26工数!$F:$F,FY26工数!$I:$I,0)</f>
        <v>1</v>
      </c>
      <c r="K15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5" s="2" t="str">
        <f>IF(T_FY27[[#This Row],[FY27工数]]=T_FY27[[#This Row],[FY26工数]], "", T_FY27[[#This Row],[FY27工数]]-T_FY27[[#This Row],[FY26工数]])</f>
        <v/>
      </c>
      <c r="M155" s="11">
        <v>7</v>
      </c>
    </row>
    <row r="156" spans="1:13">
      <c r="A156" s="1" t="s">
        <v>11</v>
      </c>
      <c r="B156" s="1" t="s">
        <v>97</v>
      </c>
      <c r="C156" s="1" t="s">
        <v>98</v>
      </c>
      <c r="D156" s="1"/>
      <c r="E156" s="1" t="s">
        <v>105</v>
      </c>
      <c r="F156" s="1" t="str">
        <f>T_FY27[[#This Row],[Eng.]]&amp;T_FY27[[#This Row],[大カテゴリ]]&amp;T_FY27[[#This Row],[中カテゴリ]]&amp;T_FY27[[#This Row],[タスク名]]</f>
        <v>FFG共通工数計画サイバーセキュリティワークシート</v>
      </c>
      <c r="G156" s="9">
        <v>4</v>
      </c>
      <c r="H156" s="9"/>
      <c r="I156" s="8">
        <f>SUM(T_FY27[[#This Row],[恒久工数]:[一時工数]])</f>
        <v>4</v>
      </c>
      <c r="J156" s="8">
        <f>_xlfn.XLOOKUP(T_FY27[[#This Row],[(作業用)タスク結合名]],FY26工数!$F:$F,FY26工数!$I:$I,0)</f>
        <v>4</v>
      </c>
      <c r="K15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6" s="2" t="str">
        <f>IF(T_FY27[[#This Row],[FY27工数]]=T_FY27[[#This Row],[FY26工数]], "", T_FY27[[#This Row],[FY27工数]]-T_FY27[[#This Row],[FY26工数]])</f>
        <v/>
      </c>
      <c r="M156" s="11">
        <v>7</v>
      </c>
    </row>
    <row r="157" spans="1:13">
      <c r="A157" s="1" t="s">
        <v>11</v>
      </c>
      <c r="B157" s="1" t="s">
        <v>97</v>
      </c>
      <c r="C157" s="1" t="s">
        <v>98</v>
      </c>
      <c r="D157" s="1"/>
      <c r="E157" s="1" t="s">
        <v>106</v>
      </c>
      <c r="F157" s="1" t="str">
        <f>T_FY27[[#This Row],[Eng.]]&amp;T_FY27[[#This Row],[大カテゴリ]]&amp;T_FY27[[#This Row],[中カテゴリ]]&amp;T_FY27[[#This Row],[タスク名]]</f>
        <v>FFG共通工数計画231GL</v>
      </c>
      <c r="G157" s="9">
        <v>4</v>
      </c>
      <c r="H157" s="9"/>
      <c r="I157" s="8">
        <f>SUM(T_FY27[[#This Row],[恒久工数]:[一時工数]])</f>
        <v>4</v>
      </c>
      <c r="J157" s="8">
        <f>_xlfn.XLOOKUP(T_FY27[[#This Row],[(作業用)タスク結合名]],FY26工数!$F:$F,FY26工数!$I:$I,0)</f>
        <v>4</v>
      </c>
      <c r="K15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7" s="2" t="str">
        <f>IF(T_FY27[[#This Row],[FY27工数]]=T_FY27[[#This Row],[FY26工数]], "", T_FY27[[#This Row],[FY27工数]]-T_FY27[[#This Row],[FY26工数]])</f>
        <v/>
      </c>
      <c r="M157" s="11">
        <v>8</v>
      </c>
    </row>
    <row r="158" spans="1:13">
      <c r="A158" s="1" t="s">
        <v>11</v>
      </c>
      <c r="B158" s="1" t="s">
        <v>97</v>
      </c>
      <c r="C158" s="1" t="s">
        <v>98</v>
      </c>
      <c r="D158" s="1"/>
      <c r="E158" s="1" t="s">
        <v>107</v>
      </c>
      <c r="F158" s="1" t="str">
        <f>T_FY27[[#This Row],[Eng.]]&amp;T_FY27[[#This Row],[大カテゴリ]]&amp;T_FY27[[#This Row],[中カテゴリ]]&amp;T_FY27[[#This Row],[タスク名]]</f>
        <v>FFG共通工数計画Form233</v>
      </c>
      <c r="G158" s="9">
        <v>4</v>
      </c>
      <c r="H158" s="9"/>
      <c r="I158" s="8">
        <f>SUM(T_FY27[[#This Row],[恒久工数]:[一時工数]])</f>
        <v>4</v>
      </c>
      <c r="J158" s="8">
        <f>_xlfn.XLOOKUP(T_FY27[[#This Row],[(作業用)タスク結合名]],FY26工数!$F:$F,FY26工数!$I:$I,0)</f>
        <v>4</v>
      </c>
      <c r="K15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8" s="2" t="str">
        <f>IF(T_FY27[[#This Row],[FY27工数]]=T_FY27[[#This Row],[FY26工数]], "", T_FY27[[#This Row],[FY27工数]]-T_FY27[[#This Row],[FY26工数]])</f>
        <v/>
      </c>
      <c r="M158" s="11">
        <v>8</v>
      </c>
    </row>
    <row r="159" spans="1:13">
      <c r="A159" s="1" t="s">
        <v>11</v>
      </c>
      <c r="B159" s="1" t="s">
        <v>97</v>
      </c>
      <c r="C159" s="1" t="s">
        <v>98</v>
      </c>
      <c r="D159" s="1"/>
      <c r="E159" s="1" t="s">
        <v>108</v>
      </c>
      <c r="F159" s="1" t="str">
        <f>T_FY27[[#This Row],[Eng.]]&amp;T_FY27[[#This Row],[大カテゴリ]]&amp;T_FY27[[#This Row],[中カテゴリ]]&amp;T_FY27[[#This Row],[タスク名]]</f>
        <v>FFG共通工数計画234GL</v>
      </c>
      <c r="G159" s="9">
        <v>1</v>
      </c>
      <c r="H159" s="9"/>
      <c r="I159" s="8">
        <f>SUM(T_FY27[[#This Row],[恒久工数]:[一時工数]])</f>
        <v>1</v>
      </c>
      <c r="J159" s="8">
        <f>_xlfn.XLOOKUP(T_FY27[[#This Row],[(作業用)タスク結合名]],FY26工数!$F:$F,FY26工数!$I:$I,0)</f>
        <v>1</v>
      </c>
      <c r="K15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59" s="2" t="str">
        <f>IF(T_FY27[[#This Row],[FY27工数]]=T_FY27[[#This Row],[FY26工数]], "", T_FY27[[#This Row],[FY27工数]]-T_FY27[[#This Row],[FY26工数]])</f>
        <v/>
      </c>
      <c r="M159" s="11">
        <v>8</v>
      </c>
    </row>
    <row r="160" spans="1:13">
      <c r="A160" s="1" t="s">
        <v>11</v>
      </c>
      <c r="B160" s="1" t="s">
        <v>97</v>
      </c>
      <c r="C160" s="1" t="s">
        <v>98</v>
      </c>
      <c r="D160" s="1"/>
      <c r="E160" s="1" t="s">
        <v>109</v>
      </c>
      <c r="F160" s="1" t="str">
        <f>T_FY27[[#This Row],[Eng.]]&amp;T_FY27[[#This Row],[大カテゴリ]]&amp;T_FY27[[#This Row],[中カテゴリ]]&amp;T_FY27[[#This Row],[タスク名]]</f>
        <v>FFG共通工数計画Form123</v>
      </c>
      <c r="G160" s="9">
        <v>4</v>
      </c>
      <c r="H160" s="9"/>
      <c r="I160" s="8">
        <f>SUM(T_FY27[[#This Row],[恒久工数]:[一時工数]])</f>
        <v>4</v>
      </c>
      <c r="J160" s="8">
        <f>_xlfn.XLOOKUP(T_FY27[[#This Row],[(作業用)タスク結合名]],FY26工数!$F:$F,FY26工数!$I:$I,0)</f>
        <v>4</v>
      </c>
      <c r="K16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0" s="2" t="str">
        <f>IF(T_FY27[[#This Row],[FY27工数]]=T_FY27[[#This Row],[FY26工数]], "", T_FY27[[#This Row],[FY27工数]]-T_FY27[[#This Row],[FY26工数]])</f>
        <v/>
      </c>
      <c r="M160" s="11">
        <v>9</v>
      </c>
    </row>
    <row r="161" spans="1:13">
      <c r="A161" s="1" t="s">
        <v>11</v>
      </c>
      <c r="B161" s="1" t="s">
        <v>97</v>
      </c>
      <c r="C161" s="1" t="s">
        <v>98</v>
      </c>
      <c r="D161" s="1"/>
      <c r="E161" s="1" t="s">
        <v>110</v>
      </c>
      <c r="F161" s="1" t="str">
        <f>T_FY27[[#This Row],[Eng.]]&amp;T_FY27[[#This Row],[大カテゴリ]]&amp;T_FY27[[#This Row],[中カテゴリ]]&amp;T_FY27[[#This Row],[タスク名]]</f>
        <v>FFG共通工数計画クライアント調整</v>
      </c>
      <c r="G161" s="9">
        <v>1</v>
      </c>
      <c r="H161" s="9"/>
      <c r="I161" s="8">
        <f>SUM(T_FY27[[#This Row],[恒久工数]:[一時工数]])</f>
        <v>1</v>
      </c>
      <c r="J161" s="8">
        <f>_xlfn.XLOOKUP(T_FY27[[#This Row],[(作業用)タスク結合名]],FY26工数!$F:$F,FY26工数!$I:$I,0)</f>
        <v>1</v>
      </c>
      <c r="K16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1" s="2" t="str">
        <f>IF(T_FY27[[#This Row],[FY27工数]]=T_FY27[[#This Row],[FY26工数]], "", T_FY27[[#This Row],[FY27工数]]-T_FY27[[#This Row],[FY26工数]])</f>
        <v/>
      </c>
      <c r="M161" s="11">
        <v>7</v>
      </c>
    </row>
    <row r="162" spans="1:13">
      <c r="A162" s="1" t="s">
        <v>11</v>
      </c>
      <c r="B162" s="1" t="s">
        <v>97</v>
      </c>
      <c r="C162" s="1" t="s">
        <v>98</v>
      </c>
      <c r="D162" s="1"/>
      <c r="E162" s="1" t="s">
        <v>111</v>
      </c>
      <c r="F162" s="1" t="str">
        <f>T_FY27[[#This Row],[Eng.]]&amp;T_FY27[[#This Row],[大カテゴリ]]&amp;T_FY27[[#This Row],[中カテゴリ]]&amp;T_FY27[[#This Row],[タスク名]]</f>
        <v>FFG共通工数計画社内ミーティング</v>
      </c>
      <c r="G162" s="9">
        <v>8</v>
      </c>
      <c r="H162" s="9"/>
      <c r="I162" s="8">
        <f>SUM(T_FY27[[#This Row],[恒久工数]:[一時工数]])</f>
        <v>8</v>
      </c>
      <c r="J162" s="8">
        <f>_xlfn.XLOOKUP(T_FY27[[#This Row],[(作業用)タスク結合名]],FY26工数!$F:$F,FY26工数!$I:$I,0)</f>
        <v>8</v>
      </c>
      <c r="K16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2" s="2" t="str">
        <f>IF(T_FY27[[#This Row],[FY27工数]]=T_FY27[[#This Row],[FY26工数]], "", T_FY27[[#This Row],[FY27工数]]-T_FY27[[#This Row],[FY26工数]])</f>
        <v/>
      </c>
      <c r="M162" s="11">
        <v>6</v>
      </c>
    </row>
    <row r="163" spans="1:13">
      <c r="A163" s="1" t="s">
        <v>11</v>
      </c>
      <c r="B163" s="1" t="s">
        <v>97</v>
      </c>
      <c r="C163" s="1" t="s">
        <v>98</v>
      </c>
      <c r="D163" s="1"/>
      <c r="E163" s="1" t="s">
        <v>112</v>
      </c>
      <c r="F163" s="1" t="str">
        <f>T_FY27[[#This Row],[Eng.]]&amp;T_FY27[[#This Row],[大カテゴリ]]&amp;T_FY27[[#This Row],[中カテゴリ]]&amp;T_FY27[[#This Row],[タスク名]]</f>
        <v>FFG共通工数計画レビュワー工数</v>
      </c>
      <c r="G163" s="9">
        <v>4</v>
      </c>
      <c r="H163" s="9"/>
      <c r="I163" s="8">
        <f>SUM(T_FY27[[#This Row],[恒久工数]:[一時工数]])</f>
        <v>4</v>
      </c>
      <c r="J163" s="8">
        <f>_xlfn.XLOOKUP(T_FY27[[#This Row],[(作業用)タスク結合名]],FY26工数!$F:$F,FY26工数!$I:$I,0)</f>
        <v>4</v>
      </c>
      <c r="K16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3" s="2" t="str">
        <f>IF(T_FY27[[#This Row],[FY27工数]]=T_FY27[[#This Row],[FY26工数]], "", T_FY27[[#This Row],[FY27工数]]-T_FY27[[#This Row],[FY26工数]])</f>
        <v/>
      </c>
      <c r="M163" s="11">
        <v>7</v>
      </c>
    </row>
    <row r="164" spans="1:13">
      <c r="A164" s="1" t="s">
        <v>11</v>
      </c>
      <c r="B164" s="1" t="s">
        <v>97</v>
      </c>
      <c r="C164" s="1" t="s">
        <v>13</v>
      </c>
      <c r="D164" s="1"/>
      <c r="E164" s="1" t="s">
        <v>112</v>
      </c>
      <c r="F164" s="1" t="str">
        <f>T_FY27[[#This Row],[Eng.]]&amp;T_FY27[[#This Row],[大カテゴリ]]&amp;T_FY27[[#This Row],[中カテゴリ]]&amp;T_FY27[[#This Row],[タスク名]]</f>
        <v>FFG共通工数WTレビュワー工数</v>
      </c>
      <c r="G164" s="9">
        <v>32</v>
      </c>
      <c r="H164" s="9"/>
      <c r="I164" s="8">
        <f>SUM(T_FY27[[#This Row],[恒久工数]:[一時工数]])</f>
        <v>32</v>
      </c>
      <c r="J164" s="8">
        <f>_xlfn.XLOOKUP(T_FY27[[#This Row],[(作業用)タスク結合名]],FY26工数!$F:$F,FY26工数!$I:$I,0)</f>
        <v>32</v>
      </c>
      <c r="K16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4" s="2" t="str">
        <f>IF(T_FY27[[#This Row],[FY27工数]]=T_FY27[[#This Row],[FY26工数]], "", T_FY27[[#This Row],[FY27工数]]-T_FY27[[#This Row],[FY26工数]])</f>
        <v/>
      </c>
      <c r="M164" s="11">
        <v>9</v>
      </c>
    </row>
    <row r="165" spans="1:13">
      <c r="A165" s="1" t="s">
        <v>11</v>
      </c>
      <c r="B165" s="1" t="s">
        <v>97</v>
      </c>
      <c r="C165" s="1" t="s">
        <v>13</v>
      </c>
      <c r="D165" s="1"/>
      <c r="E165" s="1" t="s">
        <v>110</v>
      </c>
      <c r="F165" s="1" t="str">
        <f>T_FY27[[#This Row],[Eng.]]&amp;T_FY27[[#This Row],[大カテゴリ]]&amp;T_FY27[[#This Row],[中カテゴリ]]&amp;T_FY27[[#This Row],[タスク名]]</f>
        <v>FFG共通工数WTクライアント調整</v>
      </c>
      <c r="G165" s="9">
        <v>2</v>
      </c>
      <c r="H165" s="9"/>
      <c r="I165" s="8">
        <f>SUM(T_FY27[[#This Row],[恒久工数]:[一時工数]])</f>
        <v>2</v>
      </c>
      <c r="J165" s="8">
        <f>_xlfn.XLOOKUP(T_FY27[[#This Row],[(作業用)タスク結合名]],FY26工数!$F:$F,FY26工数!$I:$I,0)</f>
        <v>2</v>
      </c>
      <c r="K16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5" s="2" t="str">
        <f>IF(T_FY27[[#This Row],[FY27工数]]=T_FY27[[#This Row],[FY26工数]], "", T_FY27[[#This Row],[FY27工数]]-T_FY27[[#This Row],[FY26工数]])</f>
        <v/>
      </c>
      <c r="M165" s="11">
        <v>8</v>
      </c>
    </row>
    <row r="166" spans="1:13">
      <c r="A166" s="1" t="s">
        <v>11</v>
      </c>
      <c r="B166" s="1" t="s">
        <v>97</v>
      </c>
      <c r="C166" s="1" t="s">
        <v>113</v>
      </c>
      <c r="D166" s="1"/>
      <c r="E166" s="1" t="s">
        <v>114</v>
      </c>
      <c r="F166" s="1" t="str">
        <f>T_FY27[[#This Row],[Eng.]]&amp;T_FY27[[#This Row],[大カテゴリ]]&amp;T_FY27[[#This Row],[中カテゴリ]]&amp;T_FY27[[#This Row],[タスク名]]</f>
        <v>FFG共通工数中間中間アーカイブ対応</v>
      </c>
      <c r="G166" s="9">
        <v>24</v>
      </c>
      <c r="H166" s="9"/>
      <c r="I166" s="8">
        <f>SUM(T_FY27[[#This Row],[恒久工数]:[一時工数]])</f>
        <v>24</v>
      </c>
      <c r="J166" s="8">
        <f>_xlfn.XLOOKUP(T_FY27[[#This Row],[(作業用)タスク結合名]],FY26工数!$F:$F,FY26工数!$I:$I,0)</f>
        <v>24</v>
      </c>
      <c r="K16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6" s="2" t="str">
        <f>IF(T_FY27[[#This Row],[FY27工数]]=T_FY27[[#This Row],[FY26工数]], "", T_FY27[[#This Row],[FY27工数]]-T_FY27[[#This Row],[FY26工数]])</f>
        <v/>
      </c>
      <c r="M166" s="11">
        <v>10</v>
      </c>
    </row>
    <row r="167" spans="1:13">
      <c r="A167" s="1" t="s">
        <v>11</v>
      </c>
      <c r="B167" s="1" t="s">
        <v>97</v>
      </c>
      <c r="C167" s="1" t="s">
        <v>15</v>
      </c>
      <c r="D167" s="1"/>
      <c r="E167" s="1" t="s">
        <v>112</v>
      </c>
      <c r="F167" s="1" t="str">
        <f>T_FY27[[#This Row],[Eng.]]&amp;T_FY27[[#This Row],[大カテゴリ]]&amp;T_FY27[[#This Row],[中カテゴリ]]&amp;T_FY27[[#This Row],[タスク名]]</f>
        <v>FFG共通工数TOCレビュワー工数</v>
      </c>
      <c r="G167" s="9">
        <v>32</v>
      </c>
      <c r="H167" s="9"/>
      <c r="I167" s="8">
        <f>SUM(T_FY27[[#This Row],[恒久工数]:[一時工数]])</f>
        <v>32</v>
      </c>
      <c r="J167" s="8">
        <f>_xlfn.XLOOKUP(T_FY27[[#This Row],[(作業用)タスク結合名]],FY26工数!$F:$F,FY26工数!$I:$I,0)</f>
        <v>32</v>
      </c>
      <c r="K16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7" s="2" t="str">
        <f>IF(T_FY27[[#This Row],[FY27工数]]=T_FY27[[#This Row],[FY26工数]], "", T_FY27[[#This Row],[FY27工数]]-T_FY27[[#This Row],[FY26工数]])</f>
        <v/>
      </c>
      <c r="M167" s="11">
        <v>10</v>
      </c>
    </row>
    <row r="168" spans="1:13">
      <c r="A168" s="1" t="s">
        <v>11</v>
      </c>
      <c r="B168" s="1" t="s">
        <v>97</v>
      </c>
      <c r="C168" s="1" t="s">
        <v>15</v>
      </c>
      <c r="D168" s="1"/>
      <c r="E168" s="1" t="s">
        <v>110</v>
      </c>
      <c r="F168" s="1" t="str">
        <f>T_FY27[[#This Row],[Eng.]]&amp;T_FY27[[#This Row],[大カテゴリ]]&amp;T_FY27[[#This Row],[中カテゴリ]]&amp;T_FY27[[#This Row],[タスク名]]</f>
        <v>FFG共通工数TOCクライアント調整</v>
      </c>
      <c r="G168" s="9">
        <v>2</v>
      </c>
      <c r="H168" s="9"/>
      <c r="I168" s="8">
        <f>SUM(T_FY27[[#This Row],[恒久工数]:[一時工数]])</f>
        <v>2</v>
      </c>
      <c r="J168" s="8">
        <f>_xlfn.XLOOKUP(T_FY27[[#This Row],[(作業用)タスク結合名]],FY26工数!$F:$F,FY26工数!$I:$I,0)</f>
        <v>2</v>
      </c>
      <c r="K168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8" s="2" t="str">
        <f>IF(T_FY27[[#This Row],[FY27工数]]=T_FY27[[#This Row],[FY26工数]], "", T_FY27[[#This Row],[FY27工数]]-T_FY27[[#This Row],[FY26工数]])</f>
        <v/>
      </c>
      <c r="M168" s="11">
        <v>10</v>
      </c>
    </row>
    <row r="169" spans="1:13">
      <c r="A169" s="1" t="s">
        <v>11</v>
      </c>
      <c r="B169" s="1" t="s">
        <v>97</v>
      </c>
      <c r="C169" s="1" t="s">
        <v>16</v>
      </c>
      <c r="D169" s="1"/>
      <c r="E169" s="1" t="s">
        <v>112</v>
      </c>
      <c r="F169" s="1" t="str">
        <f>T_FY27[[#This Row],[Eng.]]&amp;T_FY27[[#This Row],[大カテゴリ]]&amp;T_FY27[[#This Row],[中カテゴリ]]&amp;T_FY27[[#This Row],[タスク名]]</f>
        <v>FFG共通工数RFレビュワー工数</v>
      </c>
      <c r="G169" s="9">
        <v>16</v>
      </c>
      <c r="H169" s="9"/>
      <c r="I169" s="8">
        <f>SUM(T_FY27[[#This Row],[恒久工数]:[一時工数]])</f>
        <v>16</v>
      </c>
      <c r="J169" s="8">
        <f>_xlfn.XLOOKUP(T_FY27[[#This Row],[(作業用)タスク結合名]],FY26工数!$F:$F,FY26工数!$I:$I,0)</f>
        <v>16</v>
      </c>
      <c r="K169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69" s="2" t="str">
        <f>IF(T_FY27[[#This Row],[FY27工数]]=T_FY27[[#This Row],[FY26工数]], "", T_FY27[[#This Row],[FY27工数]]-T_FY27[[#This Row],[FY26工数]])</f>
        <v/>
      </c>
      <c r="M169" s="11">
        <v>3</v>
      </c>
    </row>
    <row r="170" spans="1:13">
      <c r="A170" s="1" t="s">
        <v>11</v>
      </c>
      <c r="B170" s="1" t="s">
        <v>97</v>
      </c>
      <c r="C170" s="1" t="s">
        <v>16</v>
      </c>
      <c r="D170" s="1"/>
      <c r="E170" s="1" t="s">
        <v>110</v>
      </c>
      <c r="F170" s="1" t="str">
        <f>T_FY27[[#This Row],[Eng.]]&amp;T_FY27[[#This Row],[大カテゴリ]]&amp;T_FY27[[#This Row],[中カテゴリ]]&amp;T_FY27[[#This Row],[タスク名]]</f>
        <v>FFG共通工数RFクライアント調整</v>
      </c>
      <c r="G170" s="9">
        <v>2</v>
      </c>
      <c r="H170" s="9"/>
      <c r="I170" s="8">
        <f>SUM(T_FY27[[#This Row],[恒久工数]:[一時工数]])</f>
        <v>2</v>
      </c>
      <c r="J170" s="8">
        <f>_xlfn.XLOOKUP(T_FY27[[#This Row],[(作業用)タスク結合名]],FY26工数!$F:$F,FY26工数!$I:$I,0)</f>
        <v>2</v>
      </c>
      <c r="K170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0" s="2" t="str">
        <f>IF(T_FY27[[#This Row],[FY27工数]]=T_FY27[[#This Row],[FY26工数]], "", T_FY27[[#This Row],[FY27工数]]-T_FY27[[#This Row],[FY26工数]])</f>
        <v/>
      </c>
      <c r="M170" s="11">
        <v>4</v>
      </c>
    </row>
    <row r="171" spans="1:13">
      <c r="A171" s="1" t="s">
        <v>11</v>
      </c>
      <c r="B171" s="1" t="s">
        <v>97</v>
      </c>
      <c r="C171" s="1" t="s">
        <v>115</v>
      </c>
      <c r="D171" s="1"/>
      <c r="E171" s="1" t="s">
        <v>116</v>
      </c>
      <c r="F171" s="1" t="str">
        <f>T_FY27[[#This Row],[Eng.]]&amp;T_FY27[[#This Row],[大カテゴリ]]&amp;T_FY27[[#This Row],[中カテゴリ]]&amp;T_FY27[[#This Row],[タスク名]]</f>
        <v>FFG共通工数期末期末EDAP会議資料</v>
      </c>
      <c r="G171" s="9">
        <v>1</v>
      </c>
      <c r="H171" s="9"/>
      <c r="I171" s="8">
        <f>SUM(T_FY27[[#This Row],[恒久工数]:[一時工数]])</f>
        <v>1</v>
      </c>
      <c r="J171" s="8">
        <f>_xlfn.XLOOKUP(T_FY27[[#This Row],[(作業用)タスク結合名]],FY26工数!$F:$F,FY26工数!$I:$I,0)</f>
        <v>1</v>
      </c>
      <c r="K171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1" s="2" t="str">
        <f>IF(T_FY27[[#This Row],[FY27工数]]=T_FY27[[#This Row],[FY26工数]], "", T_FY27[[#This Row],[FY27工数]]-T_FY27[[#This Row],[FY26工数]])</f>
        <v/>
      </c>
      <c r="M171" s="11">
        <v>4</v>
      </c>
    </row>
    <row r="172" spans="1:13">
      <c r="A172" s="1" t="s">
        <v>11</v>
      </c>
      <c r="B172" s="1" t="s">
        <v>97</v>
      </c>
      <c r="C172" s="1" t="s">
        <v>115</v>
      </c>
      <c r="D172" s="1"/>
      <c r="E172" s="1" t="s">
        <v>117</v>
      </c>
      <c r="F172" s="1" t="str">
        <f>T_FY27[[#This Row],[Eng.]]&amp;T_FY27[[#This Row],[大カテゴリ]]&amp;T_FY27[[#This Row],[中カテゴリ]]&amp;T_FY27[[#This Row],[タスク名]]</f>
        <v>FFG共通工数期末EYJP330</v>
      </c>
      <c r="G172" s="9">
        <v>4</v>
      </c>
      <c r="H172" s="9"/>
      <c r="I172" s="8">
        <f>SUM(T_FY27[[#This Row],[恒久工数]:[一時工数]])</f>
        <v>4</v>
      </c>
      <c r="J172" s="8">
        <f>_xlfn.XLOOKUP(T_FY27[[#This Row],[(作業用)タスク結合名]],FY26工数!$F:$F,FY26工数!$I:$I,0)</f>
        <v>4</v>
      </c>
      <c r="K172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2" s="2" t="str">
        <f>IF(T_FY27[[#This Row],[FY27工数]]=T_FY27[[#This Row],[FY26工数]], "", T_FY27[[#This Row],[FY27工数]]-T_FY27[[#This Row],[FY26工数]])</f>
        <v/>
      </c>
      <c r="M172" s="11">
        <v>3</v>
      </c>
    </row>
    <row r="173" spans="1:13">
      <c r="A173" s="1" t="s">
        <v>11</v>
      </c>
      <c r="B173" s="1" t="s">
        <v>97</v>
      </c>
      <c r="C173" s="1" t="s">
        <v>115</v>
      </c>
      <c r="D173" s="1"/>
      <c r="E173" s="1" t="s">
        <v>118</v>
      </c>
      <c r="F173" s="1" t="str">
        <f>T_FY27[[#This Row],[Eng.]]&amp;T_FY27[[#This Row],[大カテゴリ]]&amp;T_FY27[[#This Row],[中カテゴリ]]&amp;T_FY27[[#This Row],[タスク名]]</f>
        <v>FFG共通工数期末EYJP250</v>
      </c>
      <c r="G173" s="9">
        <v>4</v>
      </c>
      <c r="H173" s="9"/>
      <c r="I173" s="8">
        <f>SUM(T_FY27[[#This Row],[恒久工数]:[一時工数]])</f>
        <v>4</v>
      </c>
      <c r="J173" s="8">
        <f>_xlfn.XLOOKUP(T_FY27[[#This Row],[(作業用)タスク結合名]],FY26工数!$F:$F,FY26工数!$I:$I,0)</f>
        <v>4</v>
      </c>
      <c r="K173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3" s="2" t="str">
        <f>IF(T_FY27[[#This Row],[FY27工数]]=T_FY27[[#This Row],[FY26工数]], "", T_FY27[[#This Row],[FY27工数]]-T_FY27[[#This Row],[FY26工数]])</f>
        <v/>
      </c>
      <c r="M173" s="11">
        <v>3</v>
      </c>
    </row>
    <row r="174" spans="1:13">
      <c r="A174" s="1" t="s">
        <v>11</v>
      </c>
      <c r="B174" s="1" t="s">
        <v>97</v>
      </c>
      <c r="C174" s="1" t="s">
        <v>115</v>
      </c>
      <c r="D174" s="1"/>
      <c r="E174" s="1" t="s">
        <v>119</v>
      </c>
      <c r="F174" s="1" t="str">
        <f>T_FY27[[#This Row],[Eng.]]&amp;T_FY27[[#This Row],[大カテゴリ]]&amp;T_FY27[[#This Row],[中カテゴリ]]&amp;T_FY27[[#This Row],[タスク名]]</f>
        <v>FFG共通工数期末IT評価フォーム</v>
      </c>
      <c r="G174" s="9">
        <v>2</v>
      </c>
      <c r="H174" s="9"/>
      <c r="I174" s="8">
        <f>SUM(T_FY27[[#This Row],[恒久工数]:[一時工数]])</f>
        <v>2</v>
      </c>
      <c r="J174" s="8">
        <f>_xlfn.XLOOKUP(T_FY27[[#This Row],[(作業用)タスク結合名]],FY26工数!$F:$F,FY26工数!$I:$I,0)</f>
        <v>2</v>
      </c>
      <c r="K174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4" s="2" t="str">
        <f>IF(T_FY27[[#This Row],[FY27工数]]=T_FY27[[#This Row],[FY26工数]], "", T_FY27[[#This Row],[FY27工数]]-T_FY27[[#This Row],[FY26工数]])</f>
        <v/>
      </c>
      <c r="M174" s="11">
        <v>3</v>
      </c>
    </row>
    <row r="175" spans="1:13">
      <c r="A175" s="1" t="s">
        <v>11</v>
      </c>
      <c r="B175" s="1" t="s">
        <v>97</v>
      </c>
      <c r="C175" s="1" t="s">
        <v>115</v>
      </c>
      <c r="D175" s="1"/>
      <c r="E175" s="1" t="s">
        <v>120</v>
      </c>
      <c r="F175" s="1" t="str">
        <f>T_FY27[[#This Row],[Eng.]]&amp;T_FY27[[#This Row],[大カテゴリ]]&amp;T_FY27[[#This Row],[中カテゴリ]]&amp;T_FY27[[#This Row],[タスク名]]</f>
        <v>FFG共通工数期末SOCD</v>
      </c>
      <c r="G175" s="9">
        <v>1</v>
      </c>
      <c r="H175" s="9"/>
      <c r="I175" s="8">
        <f>SUM(T_FY27[[#This Row],[恒久工数]:[一時工数]])</f>
        <v>1</v>
      </c>
      <c r="J175" s="8">
        <f>_xlfn.XLOOKUP(T_FY27[[#This Row],[(作業用)タスク結合名]],FY26工数!$F:$F,FY26工数!$I:$I,0)</f>
        <v>1</v>
      </c>
      <c r="K175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5" s="2" t="str">
        <f>IF(T_FY27[[#This Row],[FY27工数]]=T_FY27[[#This Row],[FY26工数]], "", T_FY27[[#This Row],[FY27工数]]-T_FY27[[#This Row],[FY26工数]])</f>
        <v/>
      </c>
      <c r="M175" s="11">
        <v>10</v>
      </c>
    </row>
    <row r="176" spans="1:13">
      <c r="A176" s="1" t="s">
        <v>11</v>
      </c>
      <c r="B176" s="1" t="s">
        <v>97</v>
      </c>
      <c r="C176" s="1" t="s">
        <v>115</v>
      </c>
      <c r="D176" s="1"/>
      <c r="E176" s="1" t="s">
        <v>121</v>
      </c>
      <c r="F176" s="1" t="str">
        <f>T_FY27[[#This Row],[Eng.]]&amp;T_FY27[[#This Row],[大カテゴリ]]&amp;T_FY27[[#This Row],[中カテゴリ]]&amp;T_FY27[[#This Row],[タスク名]]</f>
        <v>FFG共通工数期末期末Canvasクローズ</v>
      </c>
      <c r="G176" s="9">
        <v>24</v>
      </c>
      <c r="H176" s="9"/>
      <c r="I176" s="8">
        <f>SUM(T_FY27[[#This Row],[恒久工数]:[一時工数]])</f>
        <v>24</v>
      </c>
      <c r="J176" s="8">
        <f>_xlfn.XLOOKUP(T_FY27[[#This Row],[(作業用)タスク結合名]],FY26工数!$F:$F,FY26工数!$I:$I,0)</f>
        <v>24</v>
      </c>
      <c r="K176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6" s="2" t="str">
        <f>IF(T_FY27[[#This Row],[FY27工数]]=T_FY27[[#This Row],[FY26工数]], "", T_FY27[[#This Row],[FY27工数]]-T_FY27[[#This Row],[FY26工数]])</f>
        <v/>
      </c>
      <c r="M176" s="11">
        <v>4</v>
      </c>
    </row>
    <row r="177" spans="1:13">
      <c r="A177" s="1" t="s">
        <v>11</v>
      </c>
      <c r="B177" s="1" t="s">
        <v>97</v>
      </c>
      <c r="C177" s="1" t="s">
        <v>89</v>
      </c>
      <c r="D177" s="1"/>
      <c r="E177" s="1" t="s">
        <v>122</v>
      </c>
      <c r="F177" s="1" t="str">
        <f>T_FY27[[#This Row],[Eng.]]&amp;T_FY27[[#This Row],[大カテゴリ]]&amp;T_FY27[[#This Row],[中カテゴリ]]&amp;T_FY27[[#This Row],[タスク名]]</f>
        <v>FFG共通工数その他CIOディスカッション（ディスカッション資料・議事録）＊</v>
      </c>
      <c r="G177" s="9">
        <v>8</v>
      </c>
      <c r="H177" s="9"/>
      <c r="I177" s="8">
        <f>SUM(T_FY27[[#This Row],[恒久工数]:[一時工数]])</f>
        <v>8</v>
      </c>
      <c r="J177" s="8">
        <f>_xlfn.XLOOKUP(T_FY27[[#This Row],[(作業用)タスク結合名]],FY26工数!$F:$F,FY26工数!$I:$I,0)</f>
        <v>8</v>
      </c>
      <c r="K177" s="16" t="str">
        <f>_xlfn.LET(
  _xlpm.FY26恒久, _xlfn.XLOOKUP(T_FY27[[#This Row],[(作業用)タスク結合名]], T_FY26[(作業用)タスク結合名], T_FY26[恒久工数], 0),
  _xlpm.FY26一時, _xlfn.XLOOKUP(T_FY27[[#This Row],[(作業用)タスク結合名]], T_FY26[(作業用)タスク結合名], T_FY26[一時工数], 0),
  IF(T_FY27[[#This Row],[FY27工数]]&lt;&gt;T_FY27[[#This Row],[FY26工数]],
    IF(T_FY27[[#This Row],[FY26工数]]=0, "追加", IF(T_FY27[[#This Row],[FY27工数]]=0, "削除", "変更")),
    IF(OR(T_FY27[[#This Row],[恒久工数]]&lt;&gt;_xlpm.FY26恒久, T_FY27[[#This Row],[一時工数]]&lt;&gt;_xlpm.FY26一時), "内訳変更", "")
  )
)</f>
        <v/>
      </c>
      <c r="L177" s="2" t="str">
        <f>IF(T_FY27[[#This Row],[FY27工数]]=T_FY27[[#This Row],[FY26工数]], "", T_FY27[[#This Row],[FY27工数]]-T_FY27[[#This Row],[FY26工数]])</f>
        <v/>
      </c>
      <c r="M177" s="11">
        <v>8</v>
      </c>
    </row>
  </sheetData>
  <phoneticPr fontId="1"/>
  <conditionalFormatting sqref="Q1:Q33 Q39:Q1048576">
    <cfRule type="expression" dxfId="7" priority="7">
      <formula>AND(ISNUMBER($L1), $Q1="")</formula>
    </cfRule>
  </conditionalFormatting>
  <conditionalFormatting sqref="K2:K177">
    <cfRule type="containsText" dxfId="6" priority="3" operator="containsText" text="内訳変更">
      <formula>NOT(ISERROR(SEARCH("内訳変更",K2)))</formula>
    </cfRule>
    <cfRule type="containsText" dxfId="5" priority="4" operator="containsText" text="変更">
      <formula>NOT(ISERROR(SEARCH("変更",K2)))</formula>
    </cfRule>
    <cfRule type="containsText" dxfId="4" priority="5" stopIfTrue="1" operator="containsText" text="削除">
      <formula>NOT(ISERROR(SEARCH("削除",K2)))</formula>
    </cfRule>
    <cfRule type="containsText" dxfId="3" priority="6" operator="containsText" text="追加">
      <formula>NOT(ISERROR(SEARCH("追加",K2)))</formula>
    </cfRule>
  </conditionalFormatting>
  <conditionalFormatting sqref="Q38">
    <cfRule type="expression" dxfId="2" priority="9">
      <formula>AND(ISNUMBER($L37), $Q38="")</formula>
    </cfRule>
  </conditionalFormatting>
  <conditionalFormatting sqref="Q37">
    <cfRule type="expression" dxfId="1" priority="11">
      <formula>AND(ISNUMBER($L34), $Q37="")</formula>
    </cfRule>
  </conditionalFormatting>
  <conditionalFormatting sqref="Q35:Q36">
    <cfRule type="expression" dxfId="0" priority="1">
      <formula>AND(ISNUMBER($L35), $Q35="")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13A4-C653-0743-81A8-822CE53C66B7}">
  <dimension ref="A1:P153"/>
  <sheetViews>
    <sheetView topLeftCell="A102" workbookViewId="0">
      <selection activeCell="E47" sqref="E47"/>
    </sheetView>
  </sheetViews>
  <sheetFormatPr baseColWidth="10" defaultRowHeight="20"/>
  <cols>
    <col min="2" max="4" width="11.5703125" customWidth="1"/>
    <col min="5" max="6" width="37.5703125" customWidth="1"/>
    <col min="7" max="7" width="10" customWidth="1"/>
    <col min="8" max="8" width="9.85546875" customWidth="1"/>
    <col min="11" max="11" width="6.7109375" customWidth="1"/>
    <col min="12" max="12" width="9.140625" customWidth="1"/>
    <col min="16" max="16" width="41.42578125" customWidth="1"/>
  </cols>
  <sheetData>
    <row r="1" spans="1:16">
      <c r="A1" t="s">
        <v>0</v>
      </c>
      <c r="B1" t="s">
        <v>1</v>
      </c>
      <c r="C1" t="s">
        <v>2</v>
      </c>
      <c r="D1" t="s">
        <v>140</v>
      </c>
      <c r="E1" t="s">
        <v>3</v>
      </c>
      <c r="F1" t="s">
        <v>185</v>
      </c>
      <c r="G1" t="s">
        <v>4</v>
      </c>
      <c r="H1" t="s">
        <v>5</v>
      </c>
      <c r="I1" t="s">
        <v>124</v>
      </c>
      <c r="J1" t="s">
        <v>126</v>
      </c>
      <c r="K1" t="s">
        <v>125</v>
      </c>
      <c r="L1" t="s">
        <v>123</v>
      </c>
      <c r="M1" t="s">
        <v>6</v>
      </c>
      <c r="N1" t="s">
        <v>7</v>
      </c>
      <c r="O1" t="s">
        <v>8</v>
      </c>
      <c r="P1" t="s">
        <v>10</v>
      </c>
    </row>
    <row r="2" spans="1:16">
      <c r="A2" s="1" t="s">
        <v>11</v>
      </c>
      <c r="B2" s="1" t="s">
        <v>12</v>
      </c>
      <c r="C2" s="1" t="s">
        <v>13</v>
      </c>
      <c r="D2" s="1"/>
      <c r="E2" s="1" t="s">
        <v>14</v>
      </c>
      <c r="F2" s="1" t="str">
        <f>A2&amp;B2&amp;C2&amp;E2</f>
        <v>FFGITGCWT勘定系</v>
      </c>
      <c r="G2" s="1">
        <v>41</v>
      </c>
      <c r="H2" s="1"/>
      <c r="I2">
        <f>SUM(G2:H2)</f>
        <v>41</v>
      </c>
      <c r="L2" s="1"/>
    </row>
    <row r="3" spans="1:16">
      <c r="A3" s="1" t="s">
        <v>11</v>
      </c>
      <c r="B3" s="1" t="s">
        <v>12</v>
      </c>
      <c r="C3" s="1" t="s">
        <v>15</v>
      </c>
      <c r="D3" s="1"/>
      <c r="E3" s="1" t="s">
        <v>14</v>
      </c>
      <c r="F3" s="1" t="str">
        <f>A3&amp;B3&amp;C3&amp;E3</f>
        <v>FFGITGCTOC勘定系</v>
      </c>
      <c r="G3" s="1">
        <v>45</v>
      </c>
      <c r="H3" s="1"/>
      <c r="I3">
        <f t="shared" ref="I3:I64" si="0">SUM(G3:H3)</f>
        <v>45</v>
      </c>
      <c r="L3" s="1"/>
    </row>
    <row r="4" spans="1:16">
      <c r="A4" s="1" t="s">
        <v>11</v>
      </c>
      <c r="B4" s="1" t="s">
        <v>12</v>
      </c>
      <c r="C4" s="1" t="s">
        <v>16</v>
      </c>
      <c r="D4" s="1"/>
      <c r="E4" s="1" t="s">
        <v>14</v>
      </c>
      <c r="F4" s="1" t="str">
        <f>A4&amp;B4&amp;C4&amp;E4</f>
        <v>FFGITGCRF勘定系</v>
      </c>
      <c r="G4" s="1">
        <v>11</v>
      </c>
      <c r="H4" s="1"/>
      <c r="I4">
        <f t="shared" si="0"/>
        <v>11</v>
      </c>
      <c r="L4" s="1"/>
    </row>
    <row r="5" spans="1:16">
      <c r="A5" s="1" t="s">
        <v>11</v>
      </c>
      <c r="B5" s="1" t="s">
        <v>12</v>
      </c>
      <c r="C5" s="1" t="s">
        <v>13</v>
      </c>
      <c r="D5" s="1"/>
      <c r="E5" s="1" t="s">
        <v>17</v>
      </c>
      <c r="F5" s="1" t="str">
        <f>A5&amp;B5&amp;C5&amp;E5</f>
        <v>FFGITGCWT勘定系・融資支援(MCインフラ束ね)</v>
      </c>
      <c r="G5" s="1">
        <v>10</v>
      </c>
      <c r="H5" s="1"/>
      <c r="I5">
        <f t="shared" si="0"/>
        <v>10</v>
      </c>
      <c r="L5" s="1"/>
    </row>
    <row r="6" spans="1:16">
      <c r="A6" s="1" t="s">
        <v>11</v>
      </c>
      <c r="B6" s="1" t="s">
        <v>12</v>
      </c>
      <c r="C6" s="1" t="s">
        <v>15</v>
      </c>
      <c r="D6" s="1"/>
      <c r="E6" s="1" t="s">
        <v>17</v>
      </c>
      <c r="F6" s="1" t="str">
        <f>A6&amp;B6&amp;C6&amp;E6</f>
        <v>FFGITGCTOC勘定系・融資支援(MCインフラ束ね)</v>
      </c>
      <c r="G6" s="1">
        <v>12</v>
      </c>
      <c r="H6" s="1"/>
      <c r="I6">
        <f t="shared" si="0"/>
        <v>12</v>
      </c>
      <c r="L6" s="1"/>
    </row>
    <row r="7" spans="1:16">
      <c r="A7" s="1" t="s">
        <v>11</v>
      </c>
      <c r="B7" s="1" t="s">
        <v>12</v>
      </c>
      <c r="C7" s="1" t="s">
        <v>16</v>
      </c>
      <c r="D7" s="1"/>
      <c r="E7" s="1" t="s">
        <v>17</v>
      </c>
      <c r="F7" s="1" t="str">
        <f>A7&amp;B7&amp;C7&amp;E7</f>
        <v>FFGITGCRF勘定系・融資支援(MCインフラ束ね)</v>
      </c>
      <c r="G7" s="1">
        <v>4</v>
      </c>
      <c r="H7" s="1"/>
      <c r="I7">
        <f t="shared" si="0"/>
        <v>4</v>
      </c>
      <c r="L7" s="1"/>
    </row>
    <row r="8" spans="1:16">
      <c r="A8" s="1" t="s">
        <v>11</v>
      </c>
      <c r="B8" s="1" t="s">
        <v>12</v>
      </c>
      <c r="C8" s="1" t="s">
        <v>13</v>
      </c>
      <c r="D8" s="1"/>
      <c r="E8" s="1" t="s">
        <v>18</v>
      </c>
      <c r="F8" s="1" t="str">
        <f>A8&amp;B8&amp;C8&amp;E8</f>
        <v>FFGITGCWT勘定系・融資支援(MO障害束ね)</v>
      </c>
      <c r="G8" s="1">
        <v>10</v>
      </c>
      <c r="H8" s="1"/>
      <c r="I8">
        <f t="shared" si="0"/>
        <v>10</v>
      </c>
      <c r="L8" s="1"/>
    </row>
    <row r="9" spans="1:16">
      <c r="A9" s="1" t="s">
        <v>11</v>
      </c>
      <c r="B9" s="1" t="s">
        <v>12</v>
      </c>
      <c r="C9" s="1" t="s">
        <v>15</v>
      </c>
      <c r="D9" s="1"/>
      <c r="E9" s="1" t="s">
        <v>18</v>
      </c>
      <c r="F9" s="1" t="str">
        <f>A9&amp;B9&amp;C9&amp;E9</f>
        <v>FFGITGCTOC勘定系・融資支援(MO障害束ね)</v>
      </c>
      <c r="G9" s="1">
        <v>12</v>
      </c>
      <c r="H9" s="1"/>
      <c r="I9">
        <f t="shared" si="0"/>
        <v>12</v>
      </c>
      <c r="L9" s="1"/>
    </row>
    <row r="10" spans="1:16">
      <c r="A10" s="1" t="s">
        <v>11</v>
      </c>
      <c r="B10" s="1" t="s">
        <v>12</v>
      </c>
      <c r="C10" s="1" t="s">
        <v>16</v>
      </c>
      <c r="D10" s="1"/>
      <c r="E10" s="1" t="s">
        <v>18</v>
      </c>
      <c r="F10" s="1" t="str">
        <f>A10&amp;B10&amp;C10&amp;E10</f>
        <v>FFGITGCRF勘定系・融資支援(MO障害束ね)</v>
      </c>
      <c r="G10" s="1">
        <v>4</v>
      </c>
      <c r="H10" s="1"/>
      <c r="I10">
        <f t="shared" si="0"/>
        <v>4</v>
      </c>
      <c r="L10" s="1"/>
    </row>
    <row r="11" spans="1:16">
      <c r="A11" s="1" t="s">
        <v>11</v>
      </c>
      <c r="B11" s="1" t="s">
        <v>12</v>
      </c>
      <c r="C11" s="1" t="s">
        <v>13</v>
      </c>
      <c r="D11" s="1"/>
      <c r="E11" s="1" t="s">
        <v>19</v>
      </c>
      <c r="F11" s="1" t="str">
        <f>A11&amp;B11&amp;C11&amp;E11</f>
        <v>FFGITGCWT融資支援</v>
      </c>
      <c r="G11" s="1">
        <v>33</v>
      </c>
      <c r="H11" s="1"/>
      <c r="I11">
        <f t="shared" si="0"/>
        <v>33</v>
      </c>
      <c r="L11" s="1"/>
    </row>
    <row r="12" spans="1:16">
      <c r="A12" s="1" t="s">
        <v>11</v>
      </c>
      <c r="B12" s="1" t="s">
        <v>12</v>
      </c>
      <c r="C12" s="1" t="s">
        <v>15</v>
      </c>
      <c r="D12" s="1"/>
      <c r="E12" s="1" t="s">
        <v>19</v>
      </c>
      <c r="F12" s="1" t="str">
        <f>A12&amp;B12&amp;C12&amp;E12</f>
        <v>FFGITGCTOC融資支援</v>
      </c>
      <c r="G12" s="1">
        <v>45</v>
      </c>
      <c r="H12" s="1"/>
      <c r="I12">
        <f t="shared" si="0"/>
        <v>45</v>
      </c>
      <c r="L12" s="1"/>
    </row>
    <row r="13" spans="1:16">
      <c r="A13" s="1" t="s">
        <v>11</v>
      </c>
      <c r="B13" s="1" t="s">
        <v>12</v>
      </c>
      <c r="C13" s="1" t="s">
        <v>16</v>
      </c>
      <c r="D13" s="1"/>
      <c r="E13" s="1" t="s">
        <v>19</v>
      </c>
      <c r="F13" s="1" t="str">
        <f>A13&amp;B13&amp;C13&amp;E13</f>
        <v>FFGITGCRF融資支援</v>
      </c>
      <c r="G13" s="1">
        <v>6</v>
      </c>
      <c r="H13" s="1"/>
      <c r="I13">
        <f t="shared" si="0"/>
        <v>6</v>
      </c>
      <c r="L13" s="1"/>
    </row>
    <row r="14" spans="1:16">
      <c r="A14" s="1" t="s">
        <v>11</v>
      </c>
      <c r="B14" s="1" t="s">
        <v>12</v>
      </c>
      <c r="C14" s="1" t="s">
        <v>13</v>
      </c>
      <c r="D14" s="1"/>
      <c r="E14" s="1" t="s">
        <v>20</v>
      </c>
      <c r="F14" s="1" t="str">
        <f>A14&amp;B14&amp;C14&amp;E14</f>
        <v>FFGITGCWT融資支援(MO束ね)</v>
      </c>
      <c r="G14" s="1">
        <v>7</v>
      </c>
      <c r="H14" s="1"/>
      <c r="I14">
        <f t="shared" si="0"/>
        <v>7</v>
      </c>
      <c r="L14" s="1"/>
    </row>
    <row r="15" spans="1:16">
      <c r="A15" s="1" t="s">
        <v>11</v>
      </c>
      <c r="B15" s="1" t="s">
        <v>12</v>
      </c>
      <c r="C15" s="1" t="s">
        <v>15</v>
      </c>
      <c r="D15" s="1"/>
      <c r="E15" s="1" t="s">
        <v>20</v>
      </c>
      <c r="F15" s="1" t="str">
        <f>A15&amp;B15&amp;C15&amp;E15</f>
        <v>FFGITGCTOC融資支援(MO束ね)</v>
      </c>
      <c r="G15" s="1">
        <v>8</v>
      </c>
      <c r="H15" s="1"/>
      <c r="I15">
        <f t="shared" si="0"/>
        <v>8</v>
      </c>
      <c r="L15" s="1"/>
    </row>
    <row r="16" spans="1:16">
      <c r="A16" s="1" t="s">
        <v>11</v>
      </c>
      <c r="B16" s="1" t="s">
        <v>12</v>
      </c>
      <c r="C16" s="1" t="s">
        <v>16</v>
      </c>
      <c r="D16" s="1"/>
      <c r="E16" s="1" t="s">
        <v>20</v>
      </c>
      <c r="F16" s="1" t="str">
        <f>A16&amp;B16&amp;C16&amp;E16</f>
        <v>FFGITGCRF融資支援(MO束ね)</v>
      </c>
      <c r="G16" s="1">
        <v>4</v>
      </c>
      <c r="H16" s="1"/>
      <c r="I16">
        <f t="shared" si="0"/>
        <v>4</v>
      </c>
      <c r="L16" s="1"/>
    </row>
    <row r="17" spans="1:12">
      <c r="A17" s="1" t="s">
        <v>11</v>
      </c>
      <c r="B17" s="1" t="s">
        <v>12</v>
      </c>
      <c r="C17" s="1" t="s">
        <v>13</v>
      </c>
      <c r="D17" s="1"/>
      <c r="E17" s="13" t="s">
        <v>146</v>
      </c>
      <c r="F17" s="1" t="str">
        <f>A17&amp;B17&amp;C17&amp;E17</f>
        <v>FFGITGCWTデ直束ね(融資支援・個人ローン・国際勘定)</v>
      </c>
      <c r="G17" s="1">
        <v>17</v>
      </c>
      <c r="H17" s="1"/>
      <c r="I17">
        <f t="shared" si="0"/>
        <v>17</v>
      </c>
      <c r="L17" s="1"/>
    </row>
    <row r="18" spans="1:12">
      <c r="A18" s="1" t="s">
        <v>11</v>
      </c>
      <c r="B18" s="1" t="s">
        <v>12</v>
      </c>
      <c r="C18" s="1" t="s">
        <v>15</v>
      </c>
      <c r="D18" s="1"/>
      <c r="E18" s="13" t="s">
        <v>146</v>
      </c>
      <c r="F18" s="1" t="str">
        <f>A18&amp;B18&amp;C18&amp;E18</f>
        <v>FFGITGCTOCデ直束ね(融資支援・個人ローン・国際勘定)</v>
      </c>
      <c r="G18" s="1">
        <v>18</v>
      </c>
      <c r="H18" s="1"/>
      <c r="I18">
        <f t="shared" si="0"/>
        <v>18</v>
      </c>
      <c r="L18" s="1"/>
    </row>
    <row r="19" spans="1:12">
      <c r="A19" s="1" t="s">
        <v>11</v>
      </c>
      <c r="B19" s="1" t="s">
        <v>12</v>
      </c>
      <c r="C19" s="1" t="s">
        <v>16</v>
      </c>
      <c r="D19" s="1"/>
      <c r="E19" s="13" t="s">
        <v>146</v>
      </c>
      <c r="F19" s="1" t="str">
        <f>A19&amp;B19&amp;C19&amp;E19</f>
        <v>FFGITGCRFデ直束ね(融資支援・個人ローン・国際勘定)</v>
      </c>
      <c r="G19" s="1">
        <v>4</v>
      </c>
      <c r="H19" s="1"/>
      <c r="I19">
        <f t="shared" si="0"/>
        <v>4</v>
      </c>
      <c r="L19" s="1"/>
    </row>
    <row r="20" spans="1:12">
      <c r="A20" s="1" t="s">
        <v>11</v>
      </c>
      <c r="B20" s="1" t="s">
        <v>12</v>
      </c>
      <c r="C20" s="1" t="s">
        <v>13</v>
      </c>
      <c r="D20" s="1"/>
      <c r="E20" s="12" t="s">
        <v>170</v>
      </c>
      <c r="F20" s="1" t="str">
        <f>A20&amp;B20&amp;C20&amp;E20</f>
        <v>FFGITGCWT本部決算(MAアプリ・MAインフラ)</v>
      </c>
      <c r="G20" s="1">
        <v>11</v>
      </c>
      <c r="H20" s="1"/>
      <c r="I20">
        <f t="shared" si="0"/>
        <v>11</v>
      </c>
      <c r="L20" s="1"/>
    </row>
    <row r="21" spans="1:12">
      <c r="A21" s="1" t="s">
        <v>11</v>
      </c>
      <c r="B21" s="1" t="s">
        <v>12</v>
      </c>
      <c r="C21" s="1" t="s">
        <v>15</v>
      </c>
      <c r="D21" s="1"/>
      <c r="E21" s="12" t="s">
        <v>170</v>
      </c>
      <c r="F21" s="1" t="str">
        <f>A21&amp;B21&amp;C21&amp;E21</f>
        <v>FFGITGCTOC本部決算(MAアプリ・MAインフラ)</v>
      </c>
      <c r="G21" s="1">
        <v>11</v>
      </c>
      <c r="H21" s="1"/>
      <c r="I21">
        <f t="shared" si="0"/>
        <v>11</v>
      </c>
      <c r="L21" s="1"/>
    </row>
    <row r="22" spans="1:12">
      <c r="A22" s="1" t="s">
        <v>11</v>
      </c>
      <c r="B22" s="1" t="s">
        <v>12</v>
      </c>
      <c r="C22" s="1" t="s">
        <v>16</v>
      </c>
      <c r="D22" s="1"/>
      <c r="E22" s="12" t="s">
        <v>170</v>
      </c>
      <c r="F22" s="1" t="str">
        <f>A22&amp;B22&amp;C22&amp;E22</f>
        <v>FFGITGCRF本部決算(MAアプリ・MAインフラ)</v>
      </c>
      <c r="G22" s="1">
        <v>4</v>
      </c>
      <c r="H22" s="1"/>
      <c r="I22">
        <f t="shared" si="0"/>
        <v>4</v>
      </c>
      <c r="L22" s="1"/>
    </row>
    <row r="23" spans="1:12">
      <c r="A23" s="1" t="s">
        <v>11</v>
      </c>
      <c r="B23" s="1" t="s">
        <v>12</v>
      </c>
      <c r="C23" s="1" t="s">
        <v>13</v>
      </c>
      <c r="D23" s="1"/>
      <c r="E23" s="1" t="s">
        <v>21</v>
      </c>
      <c r="F23" s="1" t="str">
        <f>A23&amp;B23&amp;C23&amp;E23</f>
        <v>FFGITGCWT(FFG) 勘定奉行＊</v>
      </c>
      <c r="G23" s="1">
        <v>6</v>
      </c>
      <c r="H23" s="1"/>
      <c r="I23">
        <f t="shared" si="0"/>
        <v>6</v>
      </c>
      <c r="L23" s="1"/>
    </row>
    <row r="24" spans="1:12">
      <c r="A24" s="1" t="s">
        <v>11</v>
      </c>
      <c r="B24" s="1" t="s">
        <v>12</v>
      </c>
      <c r="C24" s="1" t="s">
        <v>15</v>
      </c>
      <c r="D24" s="1"/>
      <c r="E24" s="1" t="s">
        <v>21</v>
      </c>
      <c r="F24" s="1" t="str">
        <f>A24&amp;B24&amp;C24&amp;E24</f>
        <v>FFGITGCTOC(FFG) 勘定奉行＊</v>
      </c>
      <c r="G24" s="1">
        <v>6</v>
      </c>
      <c r="H24" s="1"/>
      <c r="I24">
        <f t="shared" si="0"/>
        <v>6</v>
      </c>
      <c r="L24" s="1"/>
    </row>
    <row r="25" spans="1:12">
      <c r="A25" s="1" t="s">
        <v>11</v>
      </c>
      <c r="B25" s="1" t="s">
        <v>12</v>
      </c>
      <c r="C25" s="1" t="s">
        <v>16</v>
      </c>
      <c r="D25" s="1"/>
      <c r="E25" s="1" t="s">
        <v>21</v>
      </c>
      <c r="F25" s="1" t="str">
        <f>A25&amp;B25&amp;C25&amp;E25</f>
        <v>FFGITGCRF(FFG) 勘定奉行＊</v>
      </c>
      <c r="G25" s="1">
        <v>4</v>
      </c>
      <c r="H25" s="1"/>
      <c r="I25">
        <f t="shared" si="0"/>
        <v>4</v>
      </c>
      <c r="L25" s="1"/>
    </row>
    <row r="26" spans="1:12">
      <c r="A26" s="1" t="s">
        <v>11</v>
      </c>
      <c r="B26" s="1" t="s">
        <v>12</v>
      </c>
      <c r="C26" s="1" t="s">
        <v>13</v>
      </c>
      <c r="D26" s="1"/>
      <c r="E26" s="1" t="s">
        <v>22</v>
      </c>
      <c r="F26" s="1" t="str">
        <f>A26&amp;B26&amp;C26&amp;E26</f>
        <v>FFGITGCWT(FFG) 連結納税＊</v>
      </c>
      <c r="G26" s="1">
        <v>6</v>
      </c>
      <c r="H26" s="1"/>
      <c r="I26">
        <f t="shared" si="0"/>
        <v>6</v>
      </c>
      <c r="L26" s="1"/>
    </row>
    <row r="27" spans="1:12">
      <c r="A27" s="1" t="s">
        <v>11</v>
      </c>
      <c r="B27" s="1" t="s">
        <v>12</v>
      </c>
      <c r="C27" s="1" t="s">
        <v>15</v>
      </c>
      <c r="D27" s="1"/>
      <c r="E27" s="1" t="s">
        <v>22</v>
      </c>
      <c r="F27" s="1" t="str">
        <f>A27&amp;B27&amp;C27&amp;E27</f>
        <v>FFGITGCTOC(FFG) 連結納税＊</v>
      </c>
      <c r="G27" s="1">
        <v>6</v>
      </c>
      <c r="H27" s="1"/>
      <c r="I27">
        <f t="shared" si="0"/>
        <v>6</v>
      </c>
      <c r="L27" s="1"/>
    </row>
    <row r="28" spans="1:12">
      <c r="A28" s="1" t="s">
        <v>11</v>
      </c>
      <c r="B28" s="1" t="s">
        <v>12</v>
      </c>
      <c r="C28" s="1" t="s">
        <v>16</v>
      </c>
      <c r="D28" s="1"/>
      <c r="E28" s="1" t="s">
        <v>22</v>
      </c>
      <c r="F28" s="1" t="str">
        <f>A28&amp;B28&amp;C28&amp;E28</f>
        <v>FFGITGCRF(FFG) 連結納税＊</v>
      </c>
      <c r="G28" s="1">
        <v>5</v>
      </c>
      <c r="H28" s="1"/>
      <c r="I28">
        <f t="shared" si="0"/>
        <v>5</v>
      </c>
      <c r="L28" s="1"/>
    </row>
    <row r="29" spans="1:12">
      <c r="A29" s="1" t="s">
        <v>11</v>
      </c>
      <c r="B29" s="1" t="s">
        <v>12</v>
      </c>
      <c r="C29" s="1" t="s">
        <v>13</v>
      </c>
      <c r="D29" s="1"/>
      <c r="E29" s="1" t="s">
        <v>23</v>
      </c>
      <c r="F29" s="1" t="str">
        <f>A29&amp;B29&amp;C29&amp;E29</f>
        <v>FFGITGCWTMC束ね(本部決裁・個人ローン・投資経費)</v>
      </c>
      <c r="G29" s="1">
        <v>19</v>
      </c>
      <c r="H29" s="1"/>
      <c r="I29">
        <f t="shared" si="0"/>
        <v>19</v>
      </c>
      <c r="L29" s="1"/>
    </row>
    <row r="30" spans="1:12">
      <c r="A30" s="1" t="s">
        <v>11</v>
      </c>
      <c r="B30" s="1" t="s">
        <v>12</v>
      </c>
      <c r="C30" s="1" t="s">
        <v>15</v>
      </c>
      <c r="D30" s="1"/>
      <c r="E30" s="1" t="s">
        <v>23</v>
      </c>
      <c r="F30" s="1" t="str">
        <f>A30&amp;B30&amp;C30&amp;E30</f>
        <v>FFGITGCTOCMC束ね(本部決裁・個人ローン・投資経費)</v>
      </c>
      <c r="G30" s="1">
        <v>21</v>
      </c>
      <c r="H30" s="1"/>
      <c r="I30">
        <f t="shared" si="0"/>
        <v>21</v>
      </c>
      <c r="L30" s="1"/>
    </row>
    <row r="31" spans="1:12">
      <c r="A31" s="1" t="s">
        <v>11</v>
      </c>
      <c r="B31" s="1" t="s">
        <v>12</v>
      </c>
      <c r="C31" s="1" t="s">
        <v>16</v>
      </c>
      <c r="D31" s="1"/>
      <c r="E31" s="1" t="s">
        <v>23</v>
      </c>
      <c r="F31" s="1" t="str">
        <f>A31&amp;B31&amp;C31&amp;E31</f>
        <v>FFGITGCRFMC束ね(本部決裁・個人ローン・投資経費)</v>
      </c>
      <c r="G31" s="1">
        <v>6</v>
      </c>
      <c r="H31" s="1"/>
      <c r="I31">
        <f t="shared" si="0"/>
        <v>6</v>
      </c>
      <c r="L31" s="1"/>
    </row>
    <row r="32" spans="1:12">
      <c r="A32" s="1" t="s">
        <v>11</v>
      </c>
      <c r="B32" s="1" t="s">
        <v>12</v>
      </c>
      <c r="C32" s="1" t="s">
        <v>13</v>
      </c>
      <c r="D32" s="1"/>
      <c r="E32" s="1" t="s">
        <v>24</v>
      </c>
      <c r="F32" s="1" t="str">
        <f>A32&amp;B32&amp;C32&amp;E32</f>
        <v>FFGITGCWTMC束ね(不動産・人事・Siatol・国際・収益・財務・時価・固定資産)</v>
      </c>
      <c r="G32" s="1">
        <v>19</v>
      </c>
      <c r="H32" s="1"/>
      <c r="I32">
        <f t="shared" si="0"/>
        <v>19</v>
      </c>
      <c r="L32" s="1"/>
    </row>
    <row r="33" spans="1:12">
      <c r="A33" s="1" t="s">
        <v>11</v>
      </c>
      <c r="B33" s="1" t="s">
        <v>12</v>
      </c>
      <c r="C33" s="1" t="s">
        <v>15</v>
      </c>
      <c r="D33" s="1"/>
      <c r="E33" s="1" t="s">
        <v>24</v>
      </c>
      <c r="F33" s="1" t="str">
        <f>A33&amp;B33&amp;C33&amp;E33</f>
        <v>FFGITGCTOCMC束ね(不動産・人事・Siatol・国際・収益・財務・時価・固定資産)</v>
      </c>
      <c r="G33" s="1">
        <v>21</v>
      </c>
      <c r="H33" s="1"/>
      <c r="I33">
        <f t="shared" si="0"/>
        <v>21</v>
      </c>
      <c r="L33" s="1"/>
    </row>
    <row r="34" spans="1:12">
      <c r="A34" s="1" t="s">
        <v>11</v>
      </c>
      <c r="B34" s="1" t="s">
        <v>12</v>
      </c>
      <c r="C34" s="1" t="s">
        <v>16</v>
      </c>
      <c r="D34" s="1"/>
      <c r="E34" s="1" t="s">
        <v>24</v>
      </c>
      <c r="F34" s="1" t="str">
        <f>A34&amp;B34&amp;C34&amp;E34</f>
        <v>FFGITGCRFMC束ね(不動産・人事・Siatol・国際・収益・財務・時価・固定資産)</v>
      </c>
      <c r="G34" s="1">
        <v>7</v>
      </c>
      <c r="H34" s="1"/>
      <c r="I34">
        <f t="shared" si="0"/>
        <v>7</v>
      </c>
      <c r="L34" s="1"/>
    </row>
    <row r="35" spans="1:12">
      <c r="A35" s="1" t="s">
        <v>11</v>
      </c>
      <c r="B35" s="1" t="s">
        <v>12</v>
      </c>
      <c r="C35" s="1" t="s">
        <v>13</v>
      </c>
      <c r="D35" s="1"/>
      <c r="E35" s="1" t="s">
        <v>25</v>
      </c>
      <c r="F35" s="1" t="str">
        <f>A35&amp;B35&amp;C35&amp;E35</f>
        <v>FFGITGCWTMA(不動産・人事・Siatol・財務・時価)</v>
      </c>
      <c r="G35" s="1">
        <v>19</v>
      </c>
      <c r="H35" s="1"/>
      <c r="I35">
        <f t="shared" si="0"/>
        <v>19</v>
      </c>
      <c r="L35" s="1"/>
    </row>
    <row r="36" spans="1:12">
      <c r="A36" s="1" t="s">
        <v>11</v>
      </c>
      <c r="B36" s="1" t="s">
        <v>12</v>
      </c>
      <c r="C36" s="1" t="s">
        <v>15</v>
      </c>
      <c r="D36" s="1"/>
      <c r="E36" s="1" t="s">
        <v>25</v>
      </c>
      <c r="F36" s="1" t="str">
        <f>A36&amp;B36&amp;C36&amp;E36</f>
        <v>FFGITGCTOCMA(不動産・人事・Siatol・財務・時価)</v>
      </c>
      <c r="G36" s="1">
        <v>21</v>
      </c>
      <c r="H36" s="1"/>
      <c r="I36">
        <f t="shared" si="0"/>
        <v>21</v>
      </c>
      <c r="L36" s="1"/>
    </row>
    <row r="37" spans="1:12">
      <c r="A37" s="1" t="s">
        <v>11</v>
      </c>
      <c r="B37" s="1" t="s">
        <v>12</v>
      </c>
      <c r="C37" s="1" t="s">
        <v>16</v>
      </c>
      <c r="D37" s="1"/>
      <c r="E37" s="1" t="s">
        <v>25</v>
      </c>
      <c r="F37" s="1" t="str">
        <f>A37&amp;B37&amp;C37&amp;E37</f>
        <v>FFGITGCRFMA(不動産・人事・Siatol・財務・時価)</v>
      </c>
      <c r="G37" s="1">
        <v>7</v>
      </c>
      <c r="H37" s="1"/>
      <c r="I37">
        <f t="shared" si="0"/>
        <v>7</v>
      </c>
      <c r="L37" s="1"/>
    </row>
    <row r="38" spans="1:12">
      <c r="A38" s="1" t="s">
        <v>11</v>
      </c>
      <c r="B38" s="1" t="s">
        <v>12</v>
      </c>
      <c r="C38" s="1" t="s">
        <v>13</v>
      </c>
      <c r="D38" s="1"/>
      <c r="E38" s="1" t="s">
        <v>26</v>
      </c>
      <c r="F38" s="1" t="str">
        <f>A38&amp;B38&amp;C38&amp;E38</f>
        <v>FFGITGCWT国際勘定(MA)</v>
      </c>
      <c r="G38" s="1">
        <v>7</v>
      </c>
      <c r="H38" s="1"/>
      <c r="I38">
        <f t="shared" si="0"/>
        <v>7</v>
      </c>
      <c r="L38" s="1"/>
    </row>
    <row r="39" spans="1:12">
      <c r="A39" s="1" t="s">
        <v>11</v>
      </c>
      <c r="B39" s="1" t="s">
        <v>12</v>
      </c>
      <c r="C39" s="1" t="s">
        <v>15</v>
      </c>
      <c r="D39" s="1"/>
      <c r="E39" s="1" t="s">
        <v>26</v>
      </c>
      <c r="F39" s="1" t="str">
        <f>A39&amp;B39&amp;C39&amp;E39</f>
        <v>FFGITGCTOC国際勘定(MA)</v>
      </c>
      <c r="G39" s="1">
        <v>8</v>
      </c>
      <c r="H39" s="1"/>
      <c r="I39">
        <f t="shared" si="0"/>
        <v>8</v>
      </c>
      <c r="L39" s="1"/>
    </row>
    <row r="40" spans="1:12">
      <c r="A40" s="1" t="s">
        <v>11</v>
      </c>
      <c r="B40" s="1" t="s">
        <v>12</v>
      </c>
      <c r="C40" s="1" t="s">
        <v>16</v>
      </c>
      <c r="D40" s="1"/>
      <c r="E40" s="1" t="s">
        <v>26</v>
      </c>
      <c r="F40" s="1" t="str">
        <f>A40&amp;B40&amp;C40&amp;E40</f>
        <v>FFGITGCRF国際勘定(MA)</v>
      </c>
      <c r="G40" s="1">
        <v>3</v>
      </c>
      <c r="H40" s="1"/>
      <c r="I40">
        <f t="shared" si="0"/>
        <v>3</v>
      </c>
      <c r="L40" s="1"/>
    </row>
    <row r="41" spans="1:12">
      <c r="A41" s="1" t="s">
        <v>11</v>
      </c>
      <c r="B41" s="1" t="s">
        <v>12</v>
      </c>
      <c r="C41" s="1" t="s">
        <v>13</v>
      </c>
      <c r="D41" s="1"/>
      <c r="E41" s="1" t="s">
        <v>27</v>
      </c>
      <c r="F41" s="1" t="str">
        <f>A41&amp;B41&amp;C41&amp;E41</f>
        <v>FFGITGCWTSiatol(MAアプリ、MAインフラ)</v>
      </c>
      <c r="G41" s="1">
        <v>10</v>
      </c>
      <c r="H41" s="1"/>
      <c r="I41">
        <f t="shared" si="0"/>
        <v>10</v>
      </c>
      <c r="L41" s="1"/>
    </row>
    <row r="42" spans="1:12">
      <c r="A42" s="1" t="s">
        <v>11</v>
      </c>
      <c r="B42" s="1" t="s">
        <v>12</v>
      </c>
      <c r="C42" s="1" t="s">
        <v>15</v>
      </c>
      <c r="D42" s="1"/>
      <c r="E42" s="1" t="s">
        <v>27</v>
      </c>
      <c r="F42" s="1" t="str">
        <f>A42&amp;B42&amp;C42&amp;E42</f>
        <v>FFGITGCTOCSiatol(MAアプリ、MAインフラ)</v>
      </c>
      <c r="G42" s="1">
        <v>11</v>
      </c>
      <c r="H42" s="1"/>
      <c r="I42">
        <f t="shared" si="0"/>
        <v>11</v>
      </c>
      <c r="L42" s="1"/>
    </row>
    <row r="43" spans="1:12">
      <c r="A43" s="1" t="s">
        <v>11</v>
      </c>
      <c r="B43" s="1" t="s">
        <v>12</v>
      </c>
      <c r="C43" s="1" t="s">
        <v>16</v>
      </c>
      <c r="D43" s="1"/>
      <c r="E43" s="1" t="s">
        <v>27</v>
      </c>
      <c r="F43" s="1" t="str">
        <f>A43&amp;B43&amp;C43&amp;E43</f>
        <v>FFGITGCRFSiatol(MAアプリ、MAインフラ)</v>
      </c>
      <c r="G43" s="1">
        <v>4</v>
      </c>
      <c r="H43" s="1"/>
      <c r="I43">
        <f t="shared" si="0"/>
        <v>4</v>
      </c>
      <c r="L43" s="1"/>
    </row>
    <row r="44" spans="1:12">
      <c r="A44" s="1" t="s">
        <v>11</v>
      </c>
      <c r="B44" s="1" t="s">
        <v>12</v>
      </c>
      <c r="C44" s="1" t="s">
        <v>13</v>
      </c>
      <c r="D44" s="1"/>
      <c r="E44" s="1" t="s">
        <v>28</v>
      </c>
      <c r="F44" s="1" t="str">
        <f>A44&amp;B44&amp;C44&amp;E44</f>
        <v>FFGITGCWT時価開示(MAインフラ)</v>
      </c>
      <c r="G44" s="1">
        <v>6</v>
      </c>
      <c r="H44" s="1"/>
      <c r="I44">
        <f t="shared" si="0"/>
        <v>6</v>
      </c>
      <c r="L44" s="1"/>
    </row>
    <row r="45" spans="1:12">
      <c r="A45" s="1" t="s">
        <v>11</v>
      </c>
      <c r="B45" s="1" t="s">
        <v>12</v>
      </c>
      <c r="C45" s="1" t="s">
        <v>15</v>
      </c>
      <c r="D45" s="1"/>
      <c r="E45" s="1" t="s">
        <v>28</v>
      </c>
      <c r="F45" s="1" t="str">
        <f>A45&amp;B45&amp;C45&amp;E45</f>
        <v>FFGITGCTOC時価開示(MAインフラ)</v>
      </c>
      <c r="G45" s="1">
        <v>7</v>
      </c>
      <c r="H45" s="1"/>
      <c r="I45">
        <f t="shared" si="0"/>
        <v>7</v>
      </c>
      <c r="L45" s="1"/>
    </row>
    <row r="46" spans="1:12">
      <c r="A46" s="1" t="s">
        <v>11</v>
      </c>
      <c r="B46" s="1" t="s">
        <v>12</v>
      </c>
      <c r="C46" s="1" t="s">
        <v>16</v>
      </c>
      <c r="D46" s="1"/>
      <c r="E46" s="1" t="s">
        <v>28</v>
      </c>
      <c r="F46" s="1" t="str">
        <f>A46&amp;B46&amp;C46&amp;E46</f>
        <v>FFGITGCRF時価開示(MAインフラ)</v>
      </c>
      <c r="G46" s="1">
        <v>3</v>
      </c>
      <c r="H46" s="1"/>
      <c r="I46">
        <f t="shared" si="0"/>
        <v>3</v>
      </c>
      <c r="L46" s="1"/>
    </row>
    <row r="47" spans="1:12">
      <c r="A47" s="1" t="s">
        <v>11</v>
      </c>
      <c r="B47" s="1" t="s">
        <v>12</v>
      </c>
      <c r="C47" s="1" t="s">
        <v>13</v>
      </c>
      <c r="D47" s="1"/>
      <c r="E47" s="1" t="s">
        <v>29</v>
      </c>
      <c r="F47" s="1" t="str">
        <f>A47&amp;B47&amp;C47&amp;E47</f>
        <v>FFGITGCWTMO束ね(本部決裁・不動産・人事・時価・固定・FFG勘定奉行)</v>
      </c>
      <c r="G47" s="1">
        <v>13</v>
      </c>
      <c r="H47" s="1"/>
      <c r="I47">
        <f t="shared" si="0"/>
        <v>13</v>
      </c>
      <c r="L47" s="1"/>
    </row>
    <row r="48" spans="1:12">
      <c r="A48" s="1" t="s">
        <v>11</v>
      </c>
      <c r="B48" s="1" t="s">
        <v>12</v>
      </c>
      <c r="C48" s="1" t="s">
        <v>15</v>
      </c>
      <c r="D48" s="1"/>
      <c r="E48" s="1" t="s">
        <v>29</v>
      </c>
      <c r="F48" s="1" t="str">
        <f>A48&amp;B48&amp;C48&amp;E48</f>
        <v>FFGITGCTOCMO束ね(本部決裁・不動産・人事・時価・固定・FFG勘定奉行)</v>
      </c>
      <c r="G48" s="1">
        <v>14</v>
      </c>
      <c r="H48" s="1"/>
      <c r="I48">
        <f t="shared" si="0"/>
        <v>14</v>
      </c>
      <c r="L48" s="1"/>
    </row>
    <row r="49" spans="1:12">
      <c r="A49" s="1" t="s">
        <v>11</v>
      </c>
      <c r="B49" s="1" t="s">
        <v>12</v>
      </c>
      <c r="C49" s="1" t="s">
        <v>16</v>
      </c>
      <c r="D49" s="1"/>
      <c r="E49" s="1" t="s">
        <v>29</v>
      </c>
      <c r="F49" s="1" t="str">
        <f>A49&amp;B49&amp;C49&amp;E49</f>
        <v>FFGITGCRFMO束ね(本部決裁・不動産・人事・時価・固定・FFG勘定奉行)</v>
      </c>
      <c r="G49" s="1">
        <v>6</v>
      </c>
      <c r="H49" s="1"/>
      <c r="I49">
        <f t="shared" si="0"/>
        <v>6</v>
      </c>
      <c r="L49" s="1"/>
    </row>
    <row r="50" spans="1:12">
      <c r="A50" s="1" t="s">
        <v>11</v>
      </c>
      <c r="B50" s="1" t="s">
        <v>12</v>
      </c>
      <c r="C50" s="1" t="s">
        <v>13</v>
      </c>
      <c r="D50" s="1"/>
      <c r="E50" s="1" t="s">
        <v>30</v>
      </c>
      <c r="F50" s="1" t="str">
        <f>A50&amp;B50&amp;C50&amp;E50</f>
        <v>FFGITGCWTMOバックアップ束ね(Siatol・個人ローン・国際・収益・時価)</v>
      </c>
      <c r="G50" s="1">
        <v>10</v>
      </c>
      <c r="H50" s="1"/>
      <c r="I50">
        <f t="shared" si="0"/>
        <v>10</v>
      </c>
      <c r="L50" s="1"/>
    </row>
    <row r="51" spans="1:12">
      <c r="A51" s="1" t="s">
        <v>11</v>
      </c>
      <c r="B51" s="1" t="s">
        <v>12</v>
      </c>
      <c r="C51" s="1" t="s">
        <v>15</v>
      </c>
      <c r="D51" s="1"/>
      <c r="E51" s="1" t="s">
        <v>30</v>
      </c>
      <c r="F51" s="1" t="str">
        <f>A51&amp;B51&amp;C51&amp;E51</f>
        <v>FFGITGCTOCMOバックアップ束ね(Siatol・個人ローン・国際・収益・時価)</v>
      </c>
      <c r="G51" s="1">
        <v>11</v>
      </c>
      <c r="H51" s="1"/>
      <c r="I51">
        <f t="shared" si="0"/>
        <v>11</v>
      </c>
      <c r="L51" s="1"/>
    </row>
    <row r="52" spans="1:12">
      <c r="A52" s="1" t="s">
        <v>11</v>
      </c>
      <c r="B52" s="1" t="s">
        <v>12</v>
      </c>
      <c r="C52" s="1" t="s">
        <v>16</v>
      </c>
      <c r="D52" s="1"/>
      <c r="E52" s="1" t="s">
        <v>30</v>
      </c>
      <c r="F52" s="1" t="str">
        <f>A52&amp;B52&amp;C52&amp;E52</f>
        <v>FFGITGCRFMOバックアップ束ね(Siatol・個人ローン・国際・収益・時価)</v>
      </c>
      <c r="G52" s="1">
        <v>4</v>
      </c>
      <c r="H52" s="1"/>
      <c r="I52">
        <f t="shared" si="0"/>
        <v>4</v>
      </c>
      <c r="L52" s="1"/>
    </row>
    <row r="53" spans="1:12">
      <c r="A53" s="1" t="s">
        <v>11</v>
      </c>
      <c r="B53" s="1" t="s">
        <v>12</v>
      </c>
      <c r="C53" s="1" t="s">
        <v>13</v>
      </c>
      <c r="D53" s="1"/>
      <c r="E53" s="1" t="s">
        <v>31</v>
      </c>
      <c r="F53" s="1" t="str">
        <f>A53&amp;B53&amp;C53&amp;E53</f>
        <v>FFGITGCWTMO障害束ね(Siatol・個人ローン・国際・収益・時価)</v>
      </c>
      <c r="G53" s="1">
        <v>10</v>
      </c>
      <c r="H53" s="1"/>
      <c r="I53">
        <f t="shared" si="0"/>
        <v>10</v>
      </c>
      <c r="L53" s="1"/>
    </row>
    <row r="54" spans="1:12">
      <c r="A54" s="1" t="s">
        <v>11</v>
      </c>
      <c r="B54" s="1" t="s">
        <v>12</v>
      </c>
      <c r="C54" s="1" t="s">
        <v>15</v>
      </c>
      <c r="D54" s="1"/>
      <c r="E54" s="1" t="s">
        <v>31</v>
      </c>
      <c r="F54" s="1" t="str">
        <f>A54&amp;B54&amp;C54&amp;E54</f>
        <v>FFGITGCTOCMO障害束ね(Siatol・個人ローン・国際・収益・時価)</v>
      </c>
      <c r="G54" s="1">
        <v>11</v>
      </c>
      <c r="H54" s="1"/>
      <c r="I54">
        <f t="shared" si="0"/>
        <v>11</v>
      </c>
      <c r="L54" s="1"/>
    </row>
    <row r="55" spans="1:12">
      <c r="A55" s="1" t="s">
        <v>11</v>
      </c>
      <c r="B55" s="1" t="s">
        <v>12</v>
      </c>
      <c r="C55" s="1" t="s">
        <v>16</v>
      </c>
      <c r="D55" s="1"/>
      <c r="E55" s="1" t="s">
        <v>31</v>
      </c>
      <c r="F55" s="1" t="str">
        <f>A55&amp;B55&amp;C55&amp;E55</f>
        <v>FFGITGCRFMO障害束ね(Siatol・個人ローン・国際・収益・時価)</v>
      </c>
      <c r="G55" s="1">
        <v>4</v>
      </c>
      <c r="H55" s="1"/>
      <c r="I55">
        <f t="shared" si="0"/>
        <v>4</v>
      </c>
      <c r="L55" s="1"/>
    </row>
    <row r="56" spans="1:12">
      <c r="A56" s="1" t="s">
        <v>11</v>
      </c>
      <c r="B56" s="1" t="s">
        <v>12</v>
      </c>
      <c r="C56" s="1" t="s">
        <v>13</v>
      </c>
      <c r="D56" s="1"/>
      <c r="E56" s="1" t="s">
        <v>32</v>
      </c>
      <c r="F56" s="1" t="str">
        <f>A56&amp;B56&amp;C56&amp;E56</f>
        <v>FFGITGCWT投資経費(MA,MO)</v>
      </c>
      <c r="G56" s="1">
        <v>10</v>
      </c>
      <c r="H56" s="1"/>
      <c r="I56">
        <f t="shared" si="0"/>
        <v>10</v>
      </c>
      <c r="L56" s="1"/>
    </row>
    <row r="57" spans="1:12">
      <c r="A57" s="1" t="s">
        <v>11</v>
      </c>
      <c r="B57" s="1" t="s">
        <v>12</v>
      </c>
      <c r="C57" s="1" t="s">
        <v>15</v>
      </c>
      <c r="D57" s="1"/>
      <c r="E57" s="1" t="s">
        <v>32</v>
      </c>
      <c r="F57" s="1" t="str">
        <f>A57&amp;B57&amp;C57&amp;E57</f>
        <v>FFGITGCTOC投資経費(MA,MO)</v>
      </c>
      <c r="G57" s="1">
        <v>11</v>
      </c>
      <c r="H57" s="1"/>
      <c r="I57">
        <f t="shared" si="0"/>
        <v>11</v>
      </c>
      <c r="L57" s="1"/>
    </row>
    <row r="58" spans="1:12">
      <c r="A58" s="1" t="s">
        <v>11</v>
      </c>
      <c r="B58" s="1" t="s">
        <v>12</v>
      </c>
      <c r="C58" s="1" t="s">
        <v>16</v>
      </c>
      <c r="D58" s="1"/>
      <c r="E58" s="1" t="s">
        <v>32</v>
      </c>
      <c r="F58" s="1" t="str">
        <f>A58&amp;B58&amp;C58&amp;E58</f>
        <v>FFGITGCRF投資経費(MA,MO)</v>
      </c>
      <c r="G58" s="1">
        <v>4</v>
      </c>
      <c r="H58" s="1"/>
      <c r="I58">
        <f t="shared" si="0"/>
        <v>4</v>
      </c>
      <c r="L58" s="1"/>
    </row>
    <row r="59" spans="1:12">
      <c r="A59" s="1" t="s">
        <v>11</v>
      </c>
      <c r="B59" s="1" t="s">
        <v>12</v>
      </c>
      <c r="C59" s="1" t="s">
        <v>13</v>
      </c>
      <c r="D59" s="1"/>
      <c r="E59" s="1" t="s">
        <v>33</v>
      </c>
      <c r="F59" s="1" t="str">
        <f>A59&amp;B59&amp;C59&amp;E59</f>
        <v>FFGITGCWT固定資産(MA)</v>
      </c>
      <c r="G59" s="1">
        <v>7</v>
      </c>
      <c r="H59" s="1"/>
      <c r="I59">
        <f t="shared" si="0"/>
        <v>7</v>
      </c>
      <c r="L59" s="1"/>
    </row>
    <row r="60" spans="1:12">
      <c r="A60" s="1" t="s">
        <v>11</v>
      </c>
      <c r="B60" s="1" t="s">
        <v>12</v>
      </c>
      <c r="C60" s="1" t="s">
        <v>15</v>
      </c>
      <c r="D60" s="1"/>
      <c r="E60" s="1" t="s">
        <v>33</v>
      </c>
      <c r="F60" s="1" t="str">
        <f>A60&amp;B60&amp;C60&amp;E60</f>
        <v>FFGITGCTOC固定資産(MA)</v>
      </c>
      <c r="G60" s="1">
        <v>8</v>
      </c>
      <c r="H60" s="1"/>
      <c r="I60">
        <f t="shared" si="0"/>
        <v>8</v>
      </c>
      <c r="L60" s="1"/>
    </row>
    <row r="61" spans="1:12">
      <c r="A61" s="1" t="s">
        <v>11</v>
      </c>
      <c r="B61" s="1" t="s">
        <v>12</v>
      </c>
      <c r="C61" s="1" t="s">
        <v>16</v>
      </c>
      <c r="D61" s="1"/>
      <c r="E61" s="1" t="s">
        <v>33</v>
      </c>
      <c r="F61" s="1" t="str">
        <f>A61&amp;B61&amp;C61&amp;E61</f>
        <v>FFGITGCRF固定資産(MA)</v>
      </c>
      <c r="G61" s="1">
        <v>4</v>
      </c>
      <c r="H61" s="1"/>
      <c r="I61">
        <f t="shared" si="0"/>
        <v>4</v>
      </c>
      <c r="L61" s="1"/>
    </row>
    <row r="62" spans="1:12">
      <c r="A62" s="1" t="s">
        <v>11</v>
      </c>
      <c r="B62" s="1" t="s">
        <v>12</v>
      </c>
      <c r="C62" s="1" t="s">
        <v>13</v>
      </c>
      <c r="D62" s="1"/>
      <c r="E62" s="1" t="s">
        <v>34</v>
      </c>
      <c r="F62" s="1" t="str">
        <f>A62&amp;B62&amp;C62&amp;E62</f>
        <v>FFGITGCWT退職給付債務計算ソフト</v>
      </c>
      <c r="G62" s="1">
        <v>5</v>
      </c>
      <c r="H62" s="1"/>
      <c r="I62">
        <f t="shared" si="0"/>
        <v>5</v>
      </c>
      <c r="L62" s="1"/>
    </row>
    <row r="63" spans="1:12">
      <c r="A63" s="1" t="s">
        <v>11</v>
      </c>
      <c r="B63" s="1" t="s">
        <v>12</v>
      </c>
      <c r="C63" s="1" t="s">
        <v>15</v>
      </c>
      <c r="D63" s="1"/>
      <c r="E63" s="1" t="s">
        <v>34</v>
      </c>
      <c r="F63" s="1" t="str">
        <f>A63&amp;B63&amp;C63&amp;E63</f>
        <v>FFGITGCTOC退職給付債務計算ソフト</v>
      </c>
      <c r="G63" s="1">
        <v>5</v>
      </c>
      <c r="H63" s="1"/>
      <c r="I63">
        <f t="shared" si="0"/>
        <v>5</v>
      </c>
      <c r="L63" s="1"/>
    </row>
    <row r="64" spans="1:12">
      <c r="A64" s="1" t="s">
        <v>11</v>
      </c>
      <c r="B64" s="1" t="s">
        <v>12</v>
      </c>
      <c r="C64" s="1" t="s">
        <v>16</v>
      </c>
      <c r="D64" s="1"/>
      <c r="E64" s="1" t="s">
        <v>34</v>
      </c>
      <c r="F64" s="1" t="str">
        <f>A64&amp;B64&amp;C64&amp;E64</f>
        <v>FFGITGCRF退職給付債務計算ソフト</v>
      </c>
      <c r="G64" s="1">
        <v>2</v>
      </c>
      <c r="H64" s="1"/>
      <c r="I64">
        <f t="shared" si="0"/>
        <v>2</v>
      </c>
      <c r="L64" s="1"/>
    </row>
    <row r="65" spans="1:12">
      <c r="A65" s="1" t="s">
        <v>11</v>
      </c>
      <c r="B65" s="1" t="s">
        <v>12</v>
      </c>
      <c r="C65" s="1" t="s">
        <v>13</v>
      </c>
      <c r="D65" s="1"/>
      <c r="E65" s="1" t="s">
        <v>127</v>
      </c>
      <c r="F65" s="1" t="str">
        <f>A65&amp;B65&amp;C65&amp;E65</f>
        <v>FFGITGCWThonorJS</v>
      </c>
      <c r="G65" s="1">
        <v>34</v>
      </c>
      <c r="H65" s="1"/>
      <c r="I65">
        <f t="shared" ref="I65:I118" si="1">SUM(G65:H65)</f>
        <v>34</v>
      </c>
      <c r="L65" s="1"/>
    </row>
    <row r="66" spans="1:12">
      <c r="A66" s="1" t="s">
        <v>11</v>
      </c>
      <c r="B66" s="1" t="s">
        <v>12</v>
      </c>
      <c r="C66" s="1" t="s">
        <v>15</v>
      </c>
      <c r="D66" s="1"/>
      <c r="E66" s="1" t="s">
        <v>127</v>
      </c>
      <c r="F66" s="1" t="str">
        <f>A66&amp;B66&amp;C66&amp;E66</f>
        <v>FFGITGCTOChonorJS</v>
      </c>
      <c r="G66" s="1">
        <v>17</v>
      </c>
      <c r="H66" s="1"/>
      <c r="I66">
        <f t="shared" si="1"/>
        <v>17</v>
      </c>
      <c r="L66" s="1"/>
    </row>
    <row r="67" spans="1:12">
      <c r="A67" s="1" t="s">
        <v>11</v>
      </c>
      <c r="B67" s="1" t="s">
        <v>12</v>
      </c>
      <c r="C67" s="1" t="s">
        <v>16</v>
      </c>
      <c r="D67" s="1"/>
      <c r="E67" s="1" t="s">
        <v>127</v>
      </c>
      <c r="F67" s="1" t="str">
        <f>A67&amp;B67&amp;C67&amp;E67</f>
        <v>FFGITGCRFhonorJS</v>
      </c>
      <c r="G67" s="1">
        <v>5</v>
      </c>
      <c r="H67" s="1"/>
      <c r="I67">
        <f t="shared" si="1"/>
        <v>5</v>
      </c>
      <c r="L67" s="1"/>
    </row>
    <row r="68" spans="1:12">
      <c r="A68" s="1" t="s">
        <v>11</v>
      </c>
      <c r="B68" s="1" t="s">
        <v>12</v>
      </c>
      <c r="C68" s="1" t="s">
        <v>13</v>
      </c>
      <c r="D68" s="1"/>
      <c r="E68" s="1" t="s">
        <v>35</v>
      </c>
      <c r="F68" s="1" t="str">
        <f>A68&amp;B68&amp;C68&amp;E68</f>
        <v>FFGITGCWTRPA</v>
      </c>
      <c r="G68" s="1">
        <v>34</v>
      </c>
      <c r="H68" s="1"/>
      <c r="I68">
        <f t="shared" si="1"/>
        <v>34</v>
      </c>
      <c r="L68" s="1"/>
    </row>
    <row r="69" spans="1:12">
      <c r="A69" s="1" t="s">
        <v>11</v>
      </c>
      <c r="B69" s="1" t="s">
        <v>12</v>
      </c>
      <c r="C69" s="1" t="s">
        <v>13</v>
      </c>
      <c r="D69" s="1"/>
      <c r="E69" s="1" t="s">
        <v>36</v>
      </c>
      <c r="F69" s="1" t="str">
        <f>A69&amp;B69&amp;C69&amp;E69</f>
        <v>FFGITGCWTPRASa</v>
      </c>
      <c r="G69" s="1">
        <v>10</v>
      </c>
      <c r="H69" s="1"/>
      <c r="I69">
        <f t="shared" si="1"/>
        <v>10</v>
      </c>
      <c r="L69" s="1"/>
    </row>
    <row r="70" spans="1:12">
      <c r="A70" s="1" t="s">
        <v>11</v>
      </c>
      <c r="B70" s="1" t="s">
        <v>12</v>
      </c>
      <c r="C70" s="1" t="s">
        <v>15</v>
      </c>
      <c r="D70" s="1"/>
      <c r="E70" s="1" t="s">
        <v>36</v>
      </c>
      <c r="F70" s="1" t="str">
        <f>A70&amp;B70&amp;C70&amp;E70</f>
        <v>FFGITGCTOCPRASa</v>
      </c>
      <c r="G70" s="1">
        <v>10</v>
      </c>
      <c r="H70" s="1"/>
      <c r="I70">
        <f t="shared" si="1"/>
        <v>10</v>
      </c>
      <c r="L70" s="1"/>
    </row>
    <row r="71" spans="1:12">
      <c r="A71" s="1" t="s">
        <v>11</v>
      </c>
      <c r="B71" s="1" t="s">
        <v>12</v>
      </c>
      <c r="C71" s="1" t="s">
        <v>16</v>
      </c>
      <c r="D71" s="1"/>
      <c r="E71" s="1" t="s">
        <v>36</v>
      </c>
      <c r="F71" s="1" t="str">
        <f>A71&amp;B71&amp;C71&amp;E71</f>
        <v>FFGITGCRFPRASa</v>
      </c>
      <c r="G71" s="1">
        <v>5</v>
      </c>
      <c r="H71" s="1"/>
      <c r="I71">
        <f t="shared" si="1"/>
        <v>5</v>
      </c>
      <c r="L71" s="1"/>
    </row>
    <row r="72" spans="1:12">
      <c r="A72" s="1" t="s">
        <v>11</v>
      </c>
      <c r="B72" s="1" t="s">
        <v>12</v>
      </c>
      <c r="C72" s="1" t="s">
        <v>13</v>
      </c>
      <c r="D72" s="1"/>
      <c r="E72" s="1" t="s">
        <v>37</v>
      </c>
      <c r="F72" s="1" t="str">
        <f>A72&amp;B72&amp;C72&amp;E72</f>
        <v>FFGITGCWTFFGクラウド(AWS) 束ね</v>
      </c>
      <c r="G72" s="1">
        <v>10</v>
      </c>
      <c r="H72" s="1"/>
      <c r="I72">
        <f t="shared" si="1"/>
        <v>10</v>
      </c>
      <c r="L72" s="1"/>
    </row>
    <row r="73" spans="1:12">
      <c r="A73" s="1" t="s">
        <v>11</v>
      </c>
      <c r="B73" s="1" t="s">
        <v>12</v>
      </c>
      <c r="C73" s="1" t="s">
        <v>15</v>
      </c>
      <c r="D73" s="1"/>
      <c r="E73" s="1" t="s">
        <v>37</v>
      </c>
      <c r="F73" s="1" t="str">
        <f>A73&amp;B73&amp;C73&amp;E73</f>
        <v>FFGITGCTOCFFGクラウド(AWS) 束ね</v>
      </c>
      <c r="G73" s="1">
        <v>10</v>
      </c>
      <c r="H73" s="1"/>
      <c r="I73">
        <f t="shared" si="1"/>
        <v>10</v>
      </c>
      <c r="L73" s="1"/>
    </row>
    <row r="74" spans="1:12">
      <c r="A74" s="1" t="s">
        <v>11</v>
      </c>
      <c r="B74" s="1" t="s">
        <v>12</v>
      </c>
      <c r="C74" s="1" t="s">
        <v>16</v>
      </c>
      <c r="D74" s="1"/>
      <c r="E74" s="1" t="s">
        <v>37</v>
      </c>
      <c r="F74" s="1" t="str">
        <f>A74&amp;B74&amp;C74&amp;E74</f>
        <v>FFGITGCRFFFGクラウド(AWS) 束ね</v>
      </c>
      <c r="G74" s="1">
        <v>5</v>
      </c>
      <c r="H74" s="1"/>
      <c r="I74">
        <f t="shared" si="1"/>
        <v>5</v>
      </c>
      <c r="L74" s="1"/>
    </row>
    <row r="75" spans="1:12">
      <c r="A75" s="1" t="s">
        <v>11</v>
      </c>
      <c r="B75" s="1" t="s">
        <v>12</v>
      </c>
      <c r="C75" s="1" t="s">
        <v>38</v>
      </c>
      <c r="D75" s="1"/>
      <c r="E75" s="1" t="s">
        <v>39</v>
      </c>
      <c r="F75" s="1" t="str">
        <f>A75&amp;B75&amp;C75&amp;E75</f>
        <v>FFGITGC移行国際勘定系移行評価(基盤)</v>
      </c>
      <c r="G75" s="1">
        <v>33</v>
      </c>
      <c r="H75" s="1"/>
      <c r="I75">
        <f t="shared" si="1"/>
        <v>33</v>
      </c>
      <c r="L75" s="1"/>
    </row>
    <row r="76" spans="1:12">
      <c r="A76" s="1" t="s">
        <v>11</v>
      </c>
      <c r="B76" s="1" t="s">
        <v>12</v>
      </c>
      <c r="C76" s="1" t="s">
        <v>38</v>
      </c>
      <c r="D76" s="1"/>
      <c r="E76" s="1" t="s">
        <v>40</v>
      </c>
      <c r="F76" s="1" t="str">
        <f>A76&amp;B76&amp;C76&amp;E76</f>
        <v>FFGITGC移行ローン自動審査移行評価(基盤)</v>
      </c>
      <c r="G76" s="1">
        <v>33</v>
      </c>
      <c r="H76" s="1"/>
      <c r="I76">
        <f t="shared" si="1"/>
        <v>33</v>
      </c>
      <c r="L76" s="1"/>
    </row>
    <row r="77" spans="1:12">
      <c r="A77" s="1" t="s">
        <v>11</v>
      </c>
      <c r="B77" s="1" t="s">
        <v>12</v>
      </c>
      <c r="C77" s="1" t="s">
        <v>38</v>
      </c>
      <c r="D77" s="1"/>
      <c r="E77" s="1" t="s">
        <v>41</v>
      </c>
      <c r="F77" s="1" t="str">
        <f>A77&amp;B77&amp;C77&amp;E77</f>
        <v>FFGITGC移行資金証券(Siatol~NE, FM)移行評価</v>
      </c>
      <c r="G77" s="1">
        <v>26</v>
      </c>
      <c r="H77" s="1"/>
      <c r="I77">
        <f t="shared" si="1"/>
        <v>26</v>
      </c>
      <c r="L77" s="1"/>
    </row>
    <row r="78" spans="1:12">
      <c r="A78" s="1" t="s">
        <v>11</v>
      </c>
      <c r="B78" s="1" t="s">
        <v>12</v>
      </c>
      <c r="C78" s="1" t="s">
        <v>13</v>
      </c>
      <c r="D78" s="1"/>
      <c r="E78" s="1" t="s">
        <v>42</v>
      </c>
      <c r="F78" s="1" t="str">
        <f>A78&amp;B78&amp;C78&amp;E78</f>
        <v>FFGITGCWT資金証券(Siatol~NE, FM)新プロセス評価</v>
      </c>
      <c r="G78" s="1">
        <v>20</v>
      </c>
      <c r="H78" s="1"/>
      <c r="I78">
        <f t="shared" si="1"/>
        <v>20</v>
      </c>
      <c r="L78" s="1"/>
    </row>
    <row r="79" spans="1:12">
      <c r="A79" s="1" t="s">
        <v>11</v>
      </c>
      <c r="B79" s="1" t="s">
        <v>12</v>
      </c>
      <c r="C79" s="1" t="s">
        <v>15</v>
      </c>
      <c r="D79" s="1"/>
      <c r="E79" s="1" t="s">
        <v>42</v>
      </c>
      <c r="F79" s="1" t="str">
        <f>A79&amp;B79&amp;C79&amp;E79</f>
        <v>FFGITGCTOC資金証券(Siatol~NE, FM)新プロセス評価</v>
      </c>
      <c r="G79" s="1">
        <v>14</v>
      </c>
      <c r="H79" s="1"/>
      <c r="I79">
        <f t="shared" si="1"/>
        <v>14</v>
      </c>
      <c r="L79" s="1"/>
    </row>
    <row r="80" spans="1:12">
      <c r="A80" s="1" t="s">
        <v>11</v>
      </c>
      <c r="B80" s="1" t="s">
        <v>12</v>
      </c>
      <c r="C80" s="1" t="s">
        <v>16</v>
      </c>
      <c r="D80" s="1"/>
      <c r="E80" s="1" t="s">
        <v>42</v>
      </c>
      <c r="F80" s="1" t="str">
        <f>A80&amp;B80&amp;C80&amp;E80</f>
        <v>FFGITGCRF資金証券(Siatol~NE, FM)新プロセス評価</v>
      </c>
      <c r="G80" s="1">
        <v>5</v>
      </c>
      <c r="H80" s="1"/>
      <c r="I80">
        <f t="shared" si="1"/>
        <v>5</v>
      </c>
      <c r="L80" s="1"/>
    </row>
    <row r="81" spans="1:12">
      <c r="A81" s="1" t="s">
        <v>11</v>
      </c>
      <c r="B81" s="1" t="s">
        <v>12</v>
      </c>
      <c r="C81" s="1" t="s">
        <v>13</v>
      </c>
      <c r="D81" s="1"/>
      <c r="E81" s="1" t="s">
        <v>45</v>
      </c>
      <c r="F81" s="1" t="str">
        <f>A81&amp;B81&amp;C81&amp;E81</f>
        <v>FFGITGCWTデータエントリー</v>
      </c>
      <c r="G81" s="1">
        <v>7</v>
      </c>
      <c r="H81" s="1"/>
      <c r="I81">
        <f t="shared" si="1"/>
        <v>7</v>
      </c>
      <c r="L81" s="1"/>
    </row>
    <row r="82" spans="1:12">
      <c r="A82" s="1" t="s">
        <v>11</v>
      </c>
      <c r="B82" s="1" t="s">
        <v>12</v>
      </c>
      <c r="C82" s="1" t="s">
        <v>13</v>
      </c>
      <c r="D82" s="1"/>
      <c r="E82" s="1" t="s">
        <v>46</v>
      </c>
      <c r="F82" s="1" t="str">
        <f>A82&amp;B82&amp;C82&amp;E82</f>
        <v>FFGITGCWT市場金利情報伝送</v>
      </c>
      <c r="G82" s="1">
        <v>7</v>
      </c>
      <c r="H82" s="1"/>
      <c r="I82">
        <f t="shared" si="1"/>
        <v>7</v>
      </c>
      <c r="L82" s="1"/>
    </row>
    <row r="83" spans="1:12">
      <c r="A83" s="1" t="s">
        <v>11</v>
      </c>
      <c r="B83" s="1" t="s">
        <v>12</v>
      </c>
      <c r="C83" s="1" t="s">
        <v>13</v>
      </c>
      <c r="D83" s="1"/>
      <c r="E83" s="1" t="s">
        <v>47</v>
      </c>
      <c r="F83" s="1" t="str">
        <f>A83&amp;B83&amp;C83&amp;E83</f>
        <v>FFGITGCWT個人IB</v>
      </c>
      <c r="G83" s="1">
        <v>7</v>
      </c>
      <c r="H83" s="1"/>
      <c r="I83">
        <f t="shared" si="1"/>
        <v>7</v>
      </c>
      <c r="L83" s="1"/>
    </row>
    <row r="84" spans="1:12">
      <c r="A84" s="1" t="s">
        <v>11</v>
      </c>
      <c r="B84" s="1" t="s">
        <v>12</v>
      </c>
      <c r="C84" s="1" t="s">
        <v>13</v>
      </c>
      <c r="D84" s="1"/>
      <c r="E84" s="1" t="s">
        <v>48</v>
      </c>
      <c r="F84" s="1" t="str">
        <f>A84&amp;B84&amp;C84&amp;E84</f>
        <v>FFGITGCWT法人IB</v>
      </c>
      <c r="G84" s="1">
        <v>7</v>
      </c>
      <c r="H84" s="1"/>
      <c r="I84">
        <f t="shared" si="1"/>
        <v>7</v>
      </c>
      <c r="L84" s="1"/>
    </row>
    <row r="85" spans="1:12">
      <c r="A85" s="1" t="s">
        <v>11</v>
      </c>
      <c r="B85" s="1" t="s">
        <v>12</v>
      </c>
      <c r="C85" s="1" t="s">
        <v>13</v>
      </c>
      <c r="D85" s="1"/>
      <c r="E85" s="1" t="s">
        <v>49</v>
      </c>
      <c r="F85" s="1" t="str">
        <f>A85&amp;B85&amp;C85&amp;E85</f>
        <v>FFGITGCWTBancMeasure+</v>
      </c>
      <c r="G85" s="1">
        <v>7</v>
      </c>
      <c r="H85" s="1"/>
      <c r="I85">
        <f t="shared" si="1"/>
        <v>7</v>
      </c>
      <c r="L85" s="1"/>
    </row>
    <row r="86" spans="1:12">
      <c r="A86" s="1" t="s">
        <v>11</v>
      </c>
      <c r="B86" s="1" t="s">
        <v>12</v>
      </c>
      <c r="C86" s="1" t="s">
        <v>13</v>
      </c>
      <c r="D86" s="1"/>
      <c r="E86" s="1" t="s">
        <v>50</v>
      </c>
      <c r="F86" s="1" t="str">
        <f>A86&amp;B86&amp;C86&amp;E86</f>
        <v>FFGITGCWT自動仕訳システム</v>
      </c>
      <c r="G86" s="1">
        <v>7</v>
      </c>
      <c r="H86" s="1"/>
      <c r="I86">
        <f t="shared" si="1"/>
        <v>7</v>
      </c>
      <c r="L86" s="1"/>
    </row>
    <row r="87" spans="1:12">
      <c r="A87" s="1" t="s">
        <v>11</v>
      </c>
      <c r="B87" s="1" t="s">
        <v>12</v>
      </c>
      <c r="C87" s="1" t="s">
        <v>13</v>
      </c>
      <c r="D87" s="1"/>
      <c r="E87" s="1" t="s">
        <v>51</v>
      </c>
      <c r="F87" s="1" t="str">
        <f>A87&amp;B87&amp;C87&amp;E87</f>
        <v>FFGITGCWT(FFG)リスク管理高度化</v>
      </c>
      <c r="G87" s="1">
        <v>7</v>
      </c>
      <c r="H87" s="1"/>
      <c r="I87">
        <f t="shared" si="1"/>
        <v>7</v>
      </c>
      <c r="L87" s="1"/>
    </row>
    <row r="88" spans="1:12">
      <c r="A88" s="1" t="s">
        <v>11</v>
      </c>
      <c r="B88" s="1" t="s">
        <v>12</v>
      </c>
      <c r="C88" s="1" t="s">
        <v>52</v>
      </c>
      <c r="D88" s="1"/>
      <c r="E88" s="1" t="s">
        <v>53</v>
      </c>
      <c r="F88" s="1" t="str">
        <f>A88&amp;B88&amp;C88&amp;E88</f>
        <v>FFGITGC315対応サミット(VISA)</v>
      </c>
      <c r="G88" s="1">
        <v>3</v>
      </c>
      <c r="H88" s="1"/>
      <c r="I88">
        <f t="shared" si="1"/>
        <v>3</v>
      </c>
      <c r="L88" s="1"/>
    </row>
    <row r="89" spans="1:12">
      <c r="A89" s="1" t="s">
        <v>11</v>
      </c>
      <c r="B89" s="1" t="s">
        <v>12</v>
      </c>
      <c r="C89" s="1" t="s">
        <v>52</v>
      </c>
      <c r="D89" s="1"/>
      <c r="E89" s="1" t="s">
        <v>54</v>
      </c>
      <c r="F89" s="1" t="str">
        <f>A89&amp;B89&amp;C89&amp;E89</f>
        <v>FFGITGC315対応ジニアス(JCB)</v>
      </c>
      <c r="G89" s="1">
        <v>3</v>
      </c>
      <c r="H89" s="1"/>
      <c r="I89">
        <f t="shared" si="1"/>
        <v>3</v>
      </c>
      <c r="L89" s="1"/>
    </row>
    <row r="90" spans="1:12">
      <c r="A90" s="1" t="s">
        <v>11</v>
      </c>
      <c r="B90" s="1" t="s">
        <v>12</v>
      </c>
      <c r="C90" s="1" t="s">
        <v>52</v>
      </c>
      <c r="D90" s="1"/>
      <c r="E90" s="1" t="s">
        <v>55</v>
      </c>
      <c r="F90" s="1" t="str">
        <f>A90&amp;B90&amp;C90&amp;E90</f>
        <v>FFGITGC315対応Nomura i-Port</v>
      </c>
      <c r="G90" s="1">
        <v>3</v>
      </c>
      <c r="H90" s="1"/>
      <c r="I90">
        <f t="shared" si="1"/>
        <v>3</v>
      </c>
      <c r="L90" s="1"/>
    </row>
    <row r="91" spans="1:12">
      <c r="A91" s="1" t="s">
        <v>11</v>
      </c>
      <c r="B91" s="1" t="s">
        <v>12</v>
      </c>
      <c r="C91" s="1" t="s">
        <v>52</v>
      </c>
      <c r="D91" s="1"/>
      <c r="E91" s="1" t="s">
        <v>56</v>
      </c>
      <c r="F91" s="1" t="str">
        <f>A91&amp;B91&amp;C91&amp;E91</f>
        <v>FFGITGC315対応BESTWAY</v>
      </c>
      <c r="G91" s="1">
        <v>3</v>
      </c>
      <c r="H91" s="1"/>
      <c r="I91">
        <f t="shared" si="1"/>
        <v>3</v>
      </c>
      <c r="L91" s="1"/>
    </row>
    <row r="92" spans="1:12">
      <c r="A92" s="1" t="s">
        <v>11</v>
      </c>
      <c r="B92" s="1" t="s">
        <v>12</v>
      </c>
      <c r="C92" s="1" t="s">
        <v>52</v>
      </c>
      <c r="D92" s="1"/>
      <c r="E92" s="1" t="s">
        <v>57</v>
      </c>
      <c r="F92" s="1" t="str">
        <f>A92&amp;B92&amp;C92&amp;E92</f>
        <v>FFGITGC315対応FFGカード関連外部サービス</v>
      </c>
      <c r="G92" s="1">
        <v>3</v>
      </c>
      <c r="H92" s="1"/>
      <c r="I92">
        <f t="shared" si="1"/>
        <v>3</v>
      </c>
      <c r="L92" s="1"/>
    </row>
    <row r="93" spans="1:12">
      <c r="A93" s="1" t="s">
        <v>11</v>
      </c>
      <c r="B93" s="1" t="s">
        <v>58</v>
      </c>
      <c r="C93" s="1" t="s">
        <v>59</v>
      </c>
      <c r="D93" s="1"/>
      <c r="E93" s="1" t="s">
        <v>60</v>
      </c>
      <c r="F93" s="1" t="str">
        <f>A93&amp;B93&amp;C93&amp;E93</f>
        <v>FFGITAC-ポジショニング図の作成</v>
      </c>
      <c r="G93" s="1">
        <v>8</v>
      </c>
      <c r="H93" s="1"/>
      <c r="I93">
        <f t="shared" si="1"/>
        <v>8</v>
      </c>
      <c r="L93" s="1"/>
    </row>
    <row r="94" spans="1:12">
      <c r="A94" s="1" t="s">
        <v>11</v>
      </c>
      <c r="B94" s="1" t="s">
        <v>58</v>
      </c>
      <c r="C94" s="1" t="s">
        <v>61</v>
      </c>
      <c r="D94" s="1"/>
      <c r="E94" s="1" t="s">
        <v>62</v>
      </c>
      <c r="F94" s="1" t="str">
        <f>A94&amp;B94&amp;C94&amp;E94</f>
        <v>FFGITAC格付自己格付自己査定・貸出金SCOTのDFD作成</v>
      </c>
      <c r="G94" s="1">
        <v>8</v>
      </c>
      <c r="H94" s="1"/>
      <c r="I94">
        <f t="shared" si="1"/>
        <v>8</v>
      </c>
      <c r="L94" s="1"/>
    </row>
    <row r="95" spans="1:12">
      <c r="A95" s="1" t="s">
        <v>11</v>
      </c>
      <c r="B95" s="1" t="s">
        <v>58</v>
      </c>
      <c r="C95" s="1" t="s">
        <v>61</v>
      </c>
      <c r="D95" s="1"/>
      <c r="E95" s="1" t="s">
        <v>63</v>
      </c>
      <c r="F95" s="1" t="str">
        <f>A95&amp;B95&amp;C95&amp;E95</f>
        <v>FFGITAC格付自己格付自己査定・貸出金SCOT_データフロー観点のリスク・統制の識別</v>
      </c>
      <c r="G95" s="1">
        <v>4</v>
      </c>
      <c r="H95" s="1"/>
      <c r="I95">
        <f t="shared" si="1"/>
        <v>4</v>
      </c>
      <c r="L95" s="1"/>
    </row>
    <row r="96" spans="1:12">
      <c r="A96" s="1" t="s">
        <v>11</v>
      </c>
      <c r="B96" s="1" t="s">
        <v>58</v>
      </c>
      <c r="C96" s="1" t="s">
        <v>61</v>
      </c>
      <c r="D96" s="1"/>
      <c r="E96" s="1" t="s">
        <v>64</v>
      </c>
      <c r="F96" s="1" t="str">
        <f>A96&amp;B96&amp;C96&amp;E96</f>
        <v>FFGITAC格付自己格付自己査定・貸出金SCOT_既存SCOT調書でのリスク・統制識別との比較</v>
      </c>
      <c r="G96" s="1">
        <v>4</v>
      </c>
      <c r="H96" s="1"/>
      <c r="I96">
        <f t="shared" si="1"/>
        <v>4</v>
      </c>
      <c r="L96" s="1"/>
    </row>
    <row r="97" spans="1:12">
      <c r="A97" s="1" t="s">
        <v>11</v>
      </c>
      <c r="B97" s="1" t="s">
        <v>58</v>
      </c>
      <c r="C97" s="1" t="s">
        <v>61</v>
      </c>
      <c r="D97" s="1"/>
      <c r="E97" s="1" t="s">
        <v>65</v>
      </c>
      <c r="F97" s="1" t="str">
        <f>A97&amp;B97&amp;C97&amp;E97</f>
        <v>FFGITAC格付自己格付自己査定・貸出金SCOT_プロセス・リスク・統制識別に係るコアナームレピ</v>
      </c>
      <c r="G97" s="1">
        <v>2</v>
      </c>
      <c r="H97" s="1"/>
      <c r="I97">
        <f t="shared" si="1"/>
        <v>2</v>
      </c>
      <c r="L97" s="1"/>
    </row>
    <row r="98" spans="1:12">
      <c r="A98" s="1" t="s">
        <v>11</v>
      </c>
      <c r="B98" s="1" t="s">
        <v>58</v>
      </c>
      <c r="C98" s="1" t="s">
        <v>61</v>
      </c>
      <c r="D98" s="1"/>
      <c r="E98" s="1" t="s">
        <v>66</v>
      </c>
      <c r="F98" s="1" t="str">
        <f>A98&amp;B98&amp;C98&amp;E98</f>
        <v>FFGITAC格付自己格付自己査定・貸出金SCOT_WT追加依頼リストの作成</v>
      </c>
      <c r="G98" s="1">
        <v>2</v>
      </c>
      <c r="H98" s="1"/>
      <c r="I98">
        <f t="shared" si="1"/>
        <v>2</v>
      </c>
      <c r="L98" s="1"/>
    </row>
    <row r="99" spans="1:12">
      <c r="A99" s="1" t="s">
        <v>11</v>
      </c>
      <c r="B99" s="1" t="s">
        <v>58</v>
      </c>
      <c r="C99" s="1" t="s">
        <v>61</v>
      </c>
      <c r="D99" s="1"/>
      <c r="E99" s="1" t="s">
        <v>67</v>
      </c>
      <c r="F99" s="1" t="str">
        <f>A99&amp;B99&amp;C99&amp;E99</f>
        <v>FFGITAC格付自己格付自己査定・貸出金SCOT_ITAC評価調書(差分版)の作成(BITACso)</v>
      </c>
      <c r="G99" s="1">
        <v>32</v>
      </c>
      <c r="H99" s="1"/>
      <c r="I99">
        <f t="shared" si="1"/>
        <v>32</v>
      </c>
      <c r="L99" s="1"/>
    </row>
    <row r="100" spans="1:12">
      <c r="A100" s="1" t="s">
        <v>11</v>
      </c>
      <c r="B100" s="1" t="s">
        <v>58</v>
      </c>
      <c r="C100" s="1" t="s">
        <v>61</v>
      </c>
      <c r="D100" s="1"/>
      <c r="E100" s="1" t="s">
        <v>68</v>
      </c>
      <c r="F100" s="1" t="str">
        <f>A100&amp;B100&amp;C100&amp;E100</f>
        <v>FFGITAC格付自己格付自己査定・貸出金SCOT_調書レビュー</v>
      </c>
      <c r="G100" s="1">
        <v>4</v>
      </c>
      <c r="H100" s="1"/>
      <c r="I100">
        <f t="shared" si="1"/>
        <v>4</v>
      </c>
      <c r="L100" s="1"/>
    </row>
    <row r="101" spans="1:12">
      <c r="A101" s="1" t="s">
        <v>11</v>
      </c>
      <c r="B101" s="1" t="s">
        <v>58</v>
      </c>
      <c r="C101" s="1" t="s">
        <v>69</v>
      </c>
      <c r="D101" s="1"/>
      <c r="E101" s="1" t="s">
        <v>70</v>
      </c>
      <c r="F101" s="1" t="str">
        <f>A101&amp;B101&amp;C101&amp;E101</f>
        <v>FFGITAC金利関連為替・金利SCOTのDFD更新</v>
      </c>
      <c r="G101" s="1">
        <v>8</v>
      </c>
      <c r="H101" s="1"/>
      <c r="I101">
        <f t="shared" si="1"/>
        <v>8</v>
      </c>
      <c r="L101" s="1"/>
    </row>
    <row r="102" spans="1:12">
      <c r="A102" s="1" t="s">
        <v>11</v>
      </c>
      <c r="B102" s="1" t="s">
        <v>58</v>
      </c>
      <c r="C102" s="1" t="s">
        <v>59</v>
      </c>
      <c r="D102" s="1"/>
      <c r="E102" s="1" t="s">
        <v>71</v>
      </c>
      <c r="F102" s="1" t="str">
        <f>A102&amp;B102&amp;C102&amp;E102</f>
        <v>FFGITAC-既存ITAC_格付自己査定プロセスのITAC評価(BITACs)</v>
      </c>
      <c r="G102" s="1">
        <v>16</v>
      </c>
      <c r="H102" s="1"/>
      <c r="I102">
        <f t="shared" si="1"/>
        <v>16</v>
      </c>
      <c r="L102" s="1"/>
    </row>
    <row r="103" spans="1:12">
      <c r="A103" s="1" t="s">
        <v>11</v>
      </c>
      <c r="B103" s="1" t="s">
        <v>58</v>
      </c>
      <c r="C103" s="1" t="s">
        <v>59</v>
      </c>
      <c r="D103" s="1"/>
      <c r="E103" s="1" t="s">
        <v>72</v>
      </c>
      <c r="F103" s="1" t="str">
        <f>A103&amp;B103&amp;C103&amp;E103</f>
        <v>FFGITAC-既存ITAC_調書レビュー</v>
      </c>
      <c r="G103" s="1">
        <v>4</v>
      </c>
      <c r="H103" s="1"/>
      <c r="I103">
        <f t="shared" si="1"/>
        <v>4</v>
      </c>
      <c r="L103" s="1"/>
    </row>
    <row r="104" spans="1:12">
      <c r="A104" s="1" t="s">
        <v>11</v>
      </c>
      <c r="B104" s="1" t="s">
        <v>73</v>
      </c>
      <c r="C104" s="1" t="s">
        <v>59</v>
      </c>
      <c r="D104" s="1"/>
      <c r="E104" s="1" t="s">
        <v>74</v>
      </c>
      <c r="F104" s="1" t="str">
        <f>A104&amp;B104&amp;C104&amp;E104</f>
        <v>FFGIPE-IPE評価調書(EYJP265及び別紙)の作成</v>
      </c>
      <c r="G104" s="1">
        <v>8</v>
      </c>
      <c r="H104" s="1"/>
      <c r="I104">
        <f t="shared" si="1"/>
        <v>8</v>
      </c>
      <c r="L104" s="1"/>
    </row>
    <row r="105" spans="1:12">
      <c r="A105" s="1" t="s">
        <v>11</v>
      </c>
      <c r="B105" s="1" t="s">
        <v>73</v>
      </c>
      <c r="C105" s="1" t="s">
        <v>59</v>
      </c>
      <c r="D105" s="1"/>
      <c r="E105" s="1" t="s">
        <v>75</v>
      </c>
      <c r="F105" s="1" t="str">
        <f>A105&amp;B105&amp;C105&amp;E105</f>
        <v>FFGIPE-IPE評価調書_調書レビュー</v>
      </c>
      <c r="G105" s="1">
        <v>4</v>
      </c>
      <c r="H105" s="1"/>
      <c r="I105">
        <f t="shared" si="1"/>
        <v>4</v>
      </c>
      <c r="L105" s="1"/>
    </row>
    <row r="106" spans="1:12">
      <c r="A106" s="1" t="s">
        <v>11</v>
      </c>
      <c r="B106" s="1" t="s">
        <v>58</v>
      </c>
      <c r="C106" s="1" t="s">
        <v>76</v>
      </c>
      <c r="D106" s="1"/>
      <c r="E106" s="1" t="s">
        <v>77</v>
      </c>
      <c r="F106" s="1" t="str">
        <f>A106&amp;B106&amp;C106&amp;E106</f>
        <v>FFGITAC貸引EUC貸引EUC_依頼リストの作成_中間</v>
      </c>
      <c r="G106" s="1">
        <v>2</v>
      </c>
      <c r="H106" s="1"/>
      <c r="I106">
        <f t="shared" si="1"/>
        <v>2</v>
      </c>
      <c r="L106" s="1"/>
    </row>
    <row r="107" spans="1:12">
      <c r="A107" s="1" t="s">
        <v>11</v>
      </c>
      <c r="B107" s="1" t="s">
        <v>58</v>
      </c>
      <c r="C107" s="1" t="s">
        <v>76</v>
      </c>
      <c r="D107" s="1"/>
      <c r="E107" s="1" t="s">
        <v>78</v>
      </c>
      <c r="F107" s="1" t="str">
        <f>A107&amp;B107&amp;C107&amp;E107</f>
        <v>FFGITAC貸引EUC貸引EUC_検証調書の作成_中間</v>
      </c>
      <c r="G107" s="1">
        <v>14</v>
      </c>
      <c r="H107" s="1"/>
      <c r="I107">
        <f t="shared" si="1"/>
        <v>14</v>
      </c>
      <c r="L107" s="1"/>
    </row>
    <row r="108" spans="1:12">
      <c r="A108" s="1" t="s">
        <v>11</v>
      </c>
      <c r="B108" s="1" t="s">
        <v>58</v>
      </c>
      <c r="C108" s="1" t="s">
        <v>76</v>
      </c>
      <c r="D108" s="1"/>
      <c r="E108" s="1" t="s">
        <v>79</v>
      </c>
      <c r="F108" s="1" t="str">
        <f>A108&amp;B108&amp;C108&amp;E108</f>
        <v>FFGITAC貸引EUC貸引EUC_依頼リストの作成_期末</v>
      </c>
      <c r="G108" s="1">
        <v>2</v>
      </c>
      <c r="H108" s="1"/>
      <c r="I108">
        <f t="shared" si="1"/>
        <v>2</v>
      </c>
      <c r="L108" s="1"/>
    </row>
    <row r="109" spans="1:12">
      <c r="A109" s="1" t="s">
        <v>11</v>
      </c>
      <c r="B109" s="1" t="s">
        <v>58</v>
      </c>
      <c r="C109" s="1" t="s">
        <v>76</v>
      </c>
      <c r="D109" s="1"/>
      <c r="E109" s="1" t="s">
        <v>80</v>
      </c>
      <c r="F109" s="1" t="str">
        <f>A109&amp;B109&amp;C109&amp;E109</f>
        <v>FFGITAC貸引EUC貸引EUC_検証調書の作成_期末</v>
      </c>
      <c r="G109" s="1">
        <v>14</v>
      </c>
      <c r="H109" s="1"/>
      <c r="I109">
        <f t="shared" si="1"/>
        <v>14</v>
      </c>
      <c r="L109" s="1"/>
    </row>
    <row r="110" spans="1:12">
      <c r="A110" s="1" t="s">
        <v>11</v>
      </c>
      <c r="B110" s="1" t="s">
        <v>58</v>
      </c>
      <c r="C110" s="1" t="s">
        <v>76</v>
      </c>
      <c r="D110" s="1"/>
      <c r="E110" s="1" t="s">
        <v>81</v>
      </c>
      <c r="F110" s="1" t="str">
        <f>A110&amp;B110&amp;C110&amp;E110</f>
        <v>FFGITAC貸引EUC貸引EUC_調書レビュー</v>
      </c>
      <c r="G110" s="1">
        <v>4</v>
      </c>
      <c r="H110" s="1"/>
      <c r="I110">
        <f t="shared" si="1"/>
        <v>4</v>
      </c>
      <c r="L110" s="1"/>
    </row>
    <row r="111" spans="1:12">
      <c r="A111" s="1" t="s">
        <v>11</v>
      </c>
      <c r="B111" s="1" t="s">
        <v>58</v>
      </c>
      <c r="C111" s="1" t="s">
        <v>82</v>
      </c>
      <c r="D111" s="1"/>
      <c r="E111" s="1" t="s">
        <v>83</v>
      </c>
      <c r="F111" s="1" t="str">
        <f>A111&amp;B111&amp;C111&amp;E111</f>
        <v>FFGITACSmartAuSmartAudit計画書/結果説明への対応</v>
      </c>
      <c r="G111" s="1">
        <v>4</v>
      </c>
      <c r="H111" s="1"/>
      <c r="I111">
        <f t="shared" si="1"/>
        <v>4</v>
      </c>
      <c r="L111" s="1"/>
    </row>
    <row r="112" spans="1:12">
      <c r="A112" s="1" t="s">
        <v>11</v>
      </c>
      <c r="B112" s="1" t="s">
        <v>58</v>
      </c>
      <c r="C112" s="1" t="s">
        <v>82</v>
      </c>
      <c r="D112" s="1"/>
      <c r="E112" s="1" t="s">
        <v>84</v>
      </c>
      <c r="F112" s="1" t="str">
        <f>A112&amp;B112&amp;C112&amp;E112</f>
        <v>FFGITACSmartAuMNG-Consumer Lending Analyzer対応</v>
      </c>
      <c r="G112" s="1">
        <v>0</v>
      </c>
      <c r="H112" s="1"/>
      <c r="I112">
        <f t="shared" si="1"/>
        <v>0</v>
      </c>
      <c r="L112" s="1"/>
    </row>
    <row r="113" spans="1:12">
      <c r="A113" s="1" t="s">
        <v>11</v>
      </c>
      <c r="B113" s="1" t="s">
        <v>58</v>
      </c>
      <c r="C113" s="1" t="s">
        <v>82</v>
      </c>
      <c r="D113" s="1"/>
      <c r="E113" s="1" t="s">
        <v>85</v>
      </c>
      <c r="F113" s="1" t="str">
        <f>A113&amp;B113&amp;C113&amp;E113</f>
        <v>FFGITACSmartAuBOF:Cash Analyzer対応</v>
      </c>
      <c r="G113" s="1">
        <v>0</v>
      </c>
      <c r="H113" s="1"/>
      <c r="I113">
        <f t="shared" si="1"/>
        <v>0</v>
      </c>
      <c r="L113" s="1"/>
    </row>
    <row r="114" spans="1:12">
      <c r="A114" s="1" t="s">
        <v>11</v>
      </c>
      <c r="B114" s="1" t="s">
        <v>86</v>
      </c>
      <c r="C114" s="1" t="s">
        <v>13</v>
      </c>
      <c r="D114" s="1"/>
      <c r="E114" s="1" t="s">
        <v>87</v>
      </c>
      <c r="F114" s="1" t="str">
        <f>A114&amp;B114&amp;C114&amp;E114</f>
        <v>FFG個別工数WTAWS基盤の調書束ね</v>
      </c>
      <c r="G114" s="1">
        <v>40</v>
      </c>
      <c r="H114" s="1"/>
      <c r="I114">
        <f t="shared" si="1"/>
        <v>40</v>
      </c>
      <c r="L114" s="1"/>
    </row>
    <row r="115" spans="1:12">
      <c r="A115" s="1" t="s">
        <v>11</v>
      </c>
      <c r="B115" s="1" t="s">
        <v>86</v>
      </c>
      <c r="C115" s="1" t="s">
        <v>89</v>
      </c>
      <c r="D115" s="1"/>
      <c r="E115" s="1" t="s">
        <v>91</v>
      </c>
      <c r="F115" s="1" t="str">
        <f>A115&amp;B115&amp;C115&amp;E115</f>
        <v>FFG個別工数その他融資支援RCM再検討</v>
      </c>
      <c r="G115" s="1">
        <v>24</v>
      </c>
      <c r="H115" s="1"/>
      <c r="I115">
        <f t="shared" si="1"/>
        <v>24</v>
      </c>
      <c r="L115" s="1"/>
    </row>
    <row r="116" spans="1:12">
      <c r="A116" s="1" t="s">
        <v>11</v>
      </c>
      <c r="B116" s="1" t="s">
        <v>86</v>
      </c>
      <c r="C116" s="1" t="s">
        <v>13</v>
      </c>
      <c r="D116" s="1"/>
      <c r="E116" s="1" t="s">
        <v>92</v>
      </c>
      <c r="F116" s="1" t="str">
        <f>A116&amp;B116&amp;C116&amp;E116</f>
        <v>FFG個別工数WTサイバーリスク評価</v>
      </c>
      <c r="G116" s="1">
        <v>52</v>
      </c>
      <c r="H116" s="1"/>
      <c r="I116">
        <f t="shared" si="1"/>
        <v>52</v>
      </c>
      <c r="L116" s="1"/>
    </row>
    <row r="117" spans="1:12">
      <c r="A117" s="1" t="s">
        <v>11</v>
      </c>
      <c r="B117" s="1" t="s">
        <v>86</v>
      </c>
      <c r="C117" s="1" t="s">
        <v>15</v>
      </c>
      <c r="D117" s="1"/>
      <c r="E117" s="1" t="s">
        <v>92</v>
      </c>
      <c r="F117" s="1" t="str">
        <f>A117&amp;B117&amp;C117&amp;E117</f>
        <v>FFG個別工数TOCサイバーリスク評価</v>
      </c>
      <c r="G117" s="1">
        <v>52</v>
      </c>
      <c r="H117" s="1"/>
      <c r="I117">
        <f t="shared" si="1"/>
        <v>52</v>
      </c>
      <c r="L117" s="1"/>
    </row>
    <row r="118" spans="1:12">
      <c r="A118" s="1" t="s">
        <v>11</v>
      </c>
      <c r="B118" s="1" t="s">
        <v>86</v>
      </c>
      <c r="C118" s="1" t="s">
        <v>16</v>
      </c>
      <c r="D118" s="1"/>
      <c r="E118" s="1" t="s">
        <v>92</v>
      </c>
      <c r="F118" s="1" t="str">
        <f>A118&amp;B118&amp;C118&amp;E118</f>
        <v>FFG個別工数RFサイバーリスク評価</v>
      </c>
      <c r="G118" s="1">
        <v>10</v>
      </c>
      <c r="H118" s="1"/>
      <c r="I118">
        <f t="shared" si="1"/>
        <v>10</v>
      </c>
      <c r="L118" s="1"/>
    </row>
    <row r="119" spans="1:12">
      <c r="A119" s="1" t="s">
        <v>11</v>
      </c>
      <c r="B119" s="1" t="s">
        <v>86</v>
      </c>
      <c r="C119" s="1" t="s">
        <v>89</v>
      </c>
      <c r="D119" s="1"/>
      <c r="E119" s="1" t="s">
        <v>93</v>
      </c>
      <c r="F119" s="1" t="str">
        <f>A119&amp;B119&amp;C119&amp;E119</f>
        <v>FFG個別工数その他JSOX改訂対応</v>
      </c>
      <c r="G119" s="1">
        <v>16</v>
      </c>
      <c r="H119" s="1"/>
      <c r="I119">
        <f t="shared" ref="I119:I153" si="2">SUM(G119:H119)</f>
        <v>16</v>
      </c>
      <c r="L119" s="1"/>
    </row>
    <row r="120" spans="1:12">
      <c r="A120" s="1" t="s">
        <v>11</v>
      </c>
      <c r="B120" s="1" t="s">
        <v>86</v>
      </c>
      <c r="C120" s="1" t="s">
        <v>89</v>
      </c>
      <c r="D120" s="1"/>
      <c r="E120" s="1" t="s">
        <v>94</v>
      </c>
      <c r="F120" s="1" t="str">
        <f>A120&amp;B120&amp;C120&amp;E120</f>
        <v>FFG個別工数その他勉強会</v>
      </c>
      <c r="G120" s="1">
        <v>24</v>
      </c>
      <c r="H120" s="1"/>
      <c r="I120">
        <f t="shared" si="2"/>
        <v>24</v>
      </c>
      <c r="L120" s="1"/>
    </row>
    <row r="121" spans="1:12">
      <c r="A121" s="1" t="s">
        <v>11</v>
      </c>
      <c r="B121" s="1" t="s">
        <v>86</v>
      </c>
      <c r="C121" s="1" t="s">
        <v>13</v>
      </c>
      <c r="D121" s="1"/>
      <c r="E121" s="1" t="s">
        <v>95</v>
      </c>
      <c r="F121" s="1" t="str">
        <f>A121&amp;B121&amp;C121&amp;E121</f>
        <v>FFG個別工数WT評価結果資料作成</v>
      </c>
      <c r="G121" s="1">
        <v>4</v>
      </c>
      <c r="H121" s="1"/>
      <c r="I121">
        <f t="shared" si="2"/>
        <v>4</v>
      </c>
      <c r="L121" s="1"/>
    </row>
    <row r="122" spans="1:12">
      <c r="A122" s="1" t="s">
        <v>11</v>
      </c>
      <c r="B122" s="1" t="s">
        <v>86</v>
      </c>
      <c r="C122" s="1" t="s">
        <v>15</v>
      </c>
      <c r="D122" s="1"/>
      <c r="E122" s="1" t="s">
        <v>95</v>
      </c>
      <c r="F122" s="1" t="str">
        <f>A122&amp;B122&amp;C122&amp;E122</f>
        <v>FFG個別工数TOC評価結果資料作成</v>
      </c>
      <c r="G122" s="1">
        <v>4</v>
      </c>
      <c r="H122" s="1"/>
      <c r="I122">
        <f t="shared" si="2"/>
        <v>4</v>
      </c>
      <c r="L122" s="1"/>
    </row>
    <row r="123" spans="1:12">
      <c r="A123" s="1" t="s">
        <v>11</v>
      </c>
      <c r="B123" s="1" t="s">
        <v>86</v>
      </c>
      <c r="C123" s="1" t="s">
        <v>13</v>
      </c>
      <c r="D123" s="1"/>
      <c r="E123" s="1" t="s">
        <v>96</v>
      </c>
      <c r="F123" s="1" t="str">
        <f>A123&amp;B123&amp;C123&amp;E123</f>
        <v>FFG個別工数WT依頼リスト確認・依頼フォルダ作成</v>
      </c>
      <c r="G123" s="1">
        <v>16</v>
      </c>
      <c r="H123" s="1"/>
      <c r="I123">
        <f t="shared" si="2"/>
        <v>16</v>
      </c>
      <c r="L123" s="1"/>
    </row>
    <row r="124" spans="1:12">
      <c r="A124" s="1" t="s">
        <v>11</v>
      </c>
      <c r="B124" s="1" t="s">
        <v>86</v>
      </c>
      <c r="C124" s="1" t="s">
        <v>15</v>
      </c>
      <c r="D124" s="1"/>
      <c r="E124" s="1" t="s">
        <v>96</v>
      </c>
      <c r="F124" s="1" t="str">
        <f>A124&amp;B124&amp;C124&amp;E124</f>
        <v>FFG個別工数TOC依頼リスト確認・依頼フォルダ作成</v>
      </c>
      <c r="G124" s="1">
        <v>16</v>
      </c>
      <c r="H124" s="1"/>
      <c r="I124">
        <f t="shared" si="2"/>
        <v>16</v>
      </c>
      <c r="L124" s="1"/>
    </row>
    <row r="125" spans="1:12">
      <c r="A125" s="1" t="s">
        <v>11</v>
      </c>
      <c r="B125" s="1" t="s">
        <v>86</v>
      </c>
      <c r="C125" s="1" t="s">
        <v>16</v>
      </c>
      <c r="D125" s="1"/>
      <c r="E125" s="1" t="s">
        <v>96</v>
      </c>
      <c r="F125" s="1" t="str">
        <f>A125&amp;B125&amp;C125&amp;E125</f>
        <v>FFG個別工数RF依頼リスト確認・依頼フォルダ作成</v>
      </c>
      <c r="G125" s="1">
        <v>4</v>
      </c>
      <c r="H125" s="1"/>
      <c r="I125">
        <f t="shared" si="2"/>
        <v>4</v>
      </c>
      <c r="L125" s="1"/>
    </row>
    <row r="126" spans="1:12">
      <c r="A126" s="1" t="s">
        <v>11</v>
      </c>
      <c r="B126" s="1" t="s">
        <v>97</v>
      </c>
      <c r="C126" s="1" t="s">
        <v>98</v>
      </c>
      <c r="D126" s="1"/>
      <c r="E126" s="1" t="s">
        <v>99</v>
      </c>
      <c r="F126" s="1" t="str">
        <f>A126&amp;B126&amp;C126&amp;E126</f>
        <v>FFG共通工数計画会社向け計画説明資料</v>
      </c>
      <c r="G126" s="1">
        <v>24</v>
      </c>
      <c r="H126" s="1"/>
      <c r="I126">
        <f t="shared" si="2"/>
        <v>24</v>
      </c>
      <c r="L126" s="1"/>
    </row>
    <row r="127" spans="1:12">
      <c r="A127" s="1" t="s">
        <v>11</v>
      </c>
      <c r="B127" s="1" t="s">
        <v>97</v>
      </c>
      <c r="C127" s="1" t="s">
        <v>98</v>
      </c>
      <c r="D127" s="1"/>
      <c r="E127" s="1" t="s">
        <v>100</v>
      </c>
      <c r="F127" s="1" t="str">
        <f>A127&amp;B127&amp;C127&amp;E127</f>
        <v>FFG共通工数計画コアチーム向け計画説明資料</v>
      </c>
      <c r="G127" s="1">
        <v>24</v>
      </c>
      <c r="H127" s="1"/>
      <c r="I127">
        <f t="shared" si="2"/>
        <v>24</v>
      </c>
      <c r="L127" s="1"/>
    </row>
    <row r="128" spans="1:12">
      <c r="A128" s="1" t="s">
        <v>11</v>
      </c>
      <c r="B128" s="1" t="s">
        <v>97</v>
      </c>
      <c r="C128" s="1" t="s">
        <v>98</v>
      </c>
      <c r="D128" s="1"/>
      <c r="E128" s="1" t="s">
        <v>101</v>
      </c>
      <c r="F128" s="1" t="str">
        <f>A128&amp;B128&amp;C128&amp;E128</f>
        <v>FFG共通工数計画計画EDAP会議資料</v>
      </c>
      <c r="G128" s="1">
        <v>1</v>
      </c>
      <c r="H128" s="1"/>
      <c r="I128">
        <f t="shared" si="2"/>
        <v>1</v>
      </c>
      <c r="L128" s="1"/>
    </row>
    <row r="129" spans="1:12">
      <c r="A129" s="1" t="s">
        <v>11</v>
      </c>
      <c r="B129" s="1" t="s">
        <v>97</v>
      </c>
      <c r="C129" s="1" t="s">
        <v>98</v>
      </c>
      <c r="D129" s="1"/>
      <c r="E129" s="1" t="s">
        <v>102</v>
      </c>
      <c r="F129" s="1" t="str">
        <f>A129&amp;B129&amp;C129&amp;E129</f>
        <v>FFG共通工数計画230GL</v>
      </c>
      <c r="G129" s="1">
        <v>4</v>
      </c>
      <c r="H129" s="1"/>
      <c r="I129">
        <f t="shared" si="2"/>
        <v>4</v>
      </c>
      <c r="L129" s="1"/>
    </row>
    <row r="130" spans="1:12">
      <c r="A130" s="1" t="s">
        <v>11</v>
      </c>
      <c r="B130" s="1" t="s">
        <v>97</v>
      </c>
      <c r="C130" s="1" t="s">
        <v>98</v>
      </c>
      <c r="D130" s="1"/>
      <c r="E130" s="1" t="s">
        <v>103</v>
      </c>
      <c r="F130" s="1" t="str">
        <f>A130&amp;B130&amp;C130&amp;E130</f>
        <v>FFG共通工数計画システム概要ワークシート</v>
      </c>
      <c r="G130" s="1">
        <v>1</v>
      </c>
      <c r="H130" s="1"/>
      <c r="I130">
        <f t="shared" si="2"/>
        <v>1</v>
      </c>
      <c r="L130" s="1"/>
    </row>
    <row r="131" spans="1:12">
      <c r="A131" s="1" t="s">
        <v>11</v>
      </c>
      <c r="B131" s="1" t="s">
        <v>97</v>
      </c>
      <c r="C131" s="1" t="s">
        <v>98</v>
      </c>
      <c r="D131" s="1"/>
      <c r="E131" s="1" t="s">
        <v>104</v>
      </c>
      <c r="F131" s="1" t="str">
        <f>A131&amp;B131&amp;C131&amp;E131</f>
        <v>FFG共通工数計画IT環境ワークシート</v>
      </c>
      <c r="G131" s="1">
        <v>1</v>
      </c>
      <c r="H131" s="1"/>
      <c r="I131">
        <f t="shared" si="2"/>
        <v>1</v>
      </c>
      <c r="L131" s="1"/>
    </row>
    <row r="132" spans="1:12">
      <c r="A132" s="1" t="s">
        <v>11</v>
      </c>
      <c r="B132" s="1" t="s">
        <v>97</v>
      </c>
      <c r="C132" s="1" t="s">
        <v>98</v>
      </c>
      <c r="D132" s="1"/>
      <c r="E132" s="1" t="s">
        <v>105</v>
      </c>
      <c r="F132" s="1" t="str">
        <f>A132&amp;B132&amp;C132&amp;E132</f>
        <v>FFG共通工数計画サイバーセキュリティワークシート</v>
      </c>
      <c r="G132" s="1">
        <v>4</v>
      </c>
      <c r="H132" s="1"/>
      <c r="I132">
        <f t="shared" si="2"/>
        <v>4</v>
      </c>
      <c r="L132" s="1"/>
    </row>
    <row r="133" spans="1:12">
      <c r="A133" s="1" t="s">
        <v>11</v>
      </c>
      <c r="B133" s="1" t="s">
        <v>97</v>
      </c>
      <c r="C133" s="1" t="s">
        <v>98</v>
      </c>
      <c r="D133" s="1"/>
      <c r="E133" s="1" t="s">
        <v>106</v>
      </c>
      <c r="F133" s="1" t="str">
        <f>A133&amp;B133&amp;C133&amp;E133</f>
        <v>FFG共通工数計画231GL</v>
      </c>
      <c r="G133" s="1">
        <v>4</v>
      </c>
      <c r="H133" s="1"/>
      <c r="I133">
        <f t="shared" si="2"/>
        <v>4</v>
      </c>
      <c r="L133" s="1"/>
    </row>
    <row r="134" spans="1:12">
      <c r="A134" s="1" t="s">
        <v>11</v>
      </c>
      <c r="B134" s="1" t="s">
        <v>97</v>
      </c>
      <c r="C134" s="1" t="s">
        <v>98</v>
      </c>
      <c r="D134" s="1"/>
      <c r="E134" s="1" t="s">
        <v>107</v>
      </c>
      <c r="F134" s="1" t="str">
        <f>A134&amp;B134&amp;C134&amp;E134</f>
        <v>FFG共通工数計画Form233</v>
      </c>
      <c r="G134" s="1">
        <v>4</v>
      </c>
      <c r="H134" s="1"/>
      <c r="I134">
        <f t="shared" si="2"/>
        <v>4</v>
      </c>
      <c r="L134" s="1"/>
    </row>
    <row r="135" spans="1:12">
      <c r="A135" s="1" t="s">
        <v>11</v>
      </c>
      <c r="B135" s="1" t="s">
        <v>97</v>
      </c>
      <c r="C135" s="1" t="s">
        <v>98</v>
      </c>
      <c r="D135" s="1"/>
      <c r="E135" s="1" t="s">
        <v>108</v>
      </c>
      <c r="F135" s="1" t="str">
        <f>A135&amp;B135&amp;C135&amp;E135</f>
        <v>FFG共通工数計画234GL</v>
      </c>
      <c r="G135" s="1">
        <v>1</v>
      </c>
      <c r="H135" s="1"/>
      <c r="I135">
        <f t="shared" si="2"/>
        <v>1</v>
      </c>
      <c r="L135" s="1"/>
    </row>
    <row r="136" spans="1:12">
      <c r="A136" s="1" t="s">
        <v>11</v>
      </c>
      <c r="B136" s="1" t="s">
        <v>97</v>
      </c>
      <c r="C136" s="1" t="s">
        <v>98</v>
      </c>
      <c r="D136" s="1"/>
      <c r="E136" s="1" t="s">
        <v>109</v>
      </c>
      <c r="F136" s="1" t="str">
        <f>A136&amp;B136&amp;C136&amp;E136</f>
        <v>FFG共通工数計画Form123</v>
      </c>
      <c r="G136" s="1">
        <v>4</v>
      </c>
      <c r="H136" s="1"/>
      <c r="I136">
        <f t="shared" si="2"/>
        <v>4</v>
      </c>
      <c r="L136" s="1"/>
    </row>
    <row r="137" spans="1:12">
      <c r="A137" s="1" t="s">
        <v>11</v>
      </c>
      <c r="B137" s="1" t="s">
        <v>97</v>
      </c>
      <c r="C137" s="1" t="s">
        <v>98</v>
      </c>
      <c r="D137" s="1"/>
      <c r="E137" s="1" t="s">
        <v>110</v>
      </c>
      <c r="F137" s="1" t="str">
        <f>A137&amp;B137&amp;C137&amp;E137</f>
        <v>FFG共通工数計画クライアント調整</v>
      </c>
      <c r="G137" s="1">
        <v>1</v>
      </c>
      <c r="H137" s="1"/>
      <c r="I137">
        <f t="shared" si="2"/>
        <v>1</v>
      </c>
      <c r="L137" s="1"/>
    </row>
    <row r="138" spans="1:12">
      <c r="A138" s="1" t="s">
        <v>11</v>
      </c>
      <c r="B138" s="1" t="s">
        <v>97</v>
      </c>
      <c r="C138" s="1" t="s">
        <v>98</v>
      </c>
      <c r="D138" s="1"/>
      <c r="E138" s="1" t="s">
        <v>111</v>
      </c>
      <c r="F138" s="1" t="str">
        <f>A138&amp;B138&amp;C138&amp;E138</f>
        <v>FFG共通工数計画社内ミーティング</v>
      </c>
      <c r="G138" s="1">
        <v>8</v>
      </c>
      <c r="H138" s="1"/>
      <c r="I138">
        <f t="shared" si="2"/>
        <v>8</v>
      </c>
      <c r="L138" s="1"/>
    </row>
    <row r="139" spans="1:12">
      <c r="A139" s="1" t="s">
        <v>11</v>
      </c>
      <c r="B139" s="1" t="s">
        <v>97</v>
      </c>
      <c r="C139" s="1" t="s">
        <v>98</v>
      </c>
      <c r="D139" s="1"/>
      <c r="E139" s="1" t="s">
        <v>112</v>
      </c>
      <c r="F139" s="1" t="str">
        <f>A139&amp;B139&amp;C139&amp;E139</f>
        <v>FFG共通工数計画レビュワー工数</v>
      </c>
      <c r="G139" s="1">
        <v>4</v>
      </c>
      <c r="H139" s="1"/>
      <c r="I139">
        <f t="shared" si="2"/>
        <v>4</v>
      </c>
      <c r="L139" s="1"/>
    </row>
    <row r="140" spans="1:12">
      <c r="A140" s="1" t="s">
        <v>11</v>
      </c>
      <c r="B140" s="1" t="s">
        <v>97</v>
      </c>
      <c r="C140" s="1" t="s">
        <v>13</v>
      </c>
      <c r="D140" s="1"/>
      <c r="E140" s="1" t="s">
        <v>112</v>
      </c>
      <c r="F140" s="1" t="str">
        <f>A140&amp;B140&amp;C140&amp;E140</f>
        <v>FFG共通工数WTレビュワー工数</v>
      </c>
      <c r="G140" s="1">
        <v>32</v>
      </c>
      <c r="H140" s="1"/>
      <c r="I140">
        <f t="shared" si="2"/>
        <v>32</v>
      </c>
      <c r="L140" s="1"/>
    </row>
    <row r="141" spans="1:12">
      <c r="A141" s="1" t="s">
        <v>11</v>
      </c>
      <c r="B141" s="1" t="s">
        <v>97</v>
      </c>
      <c r="C141" s="1" t="s">
        <v>13</v>
      </c>
      <c r="D141" s="1"/>
      <c r="E141" s="1" t="s">
        <v>110</v>
      </c>
      <c r="F141" s="1" t="str">
        <f>A141&amp;B141&amp;C141&amp;E141</f>
        <v>FFG共通工数WTクライアント調整</v>
      </c>
      <c r="G141" s="1">
        <v>2</v>
      </c>
      <c r="H141" s="1"/>
      <c r="I141">
        <f t="shared" si="2"/>
        <v>2</v>
      </c>
      <c r="L141" s="1"/>
    </row>
    <row r="142" spans="1:12">
      <c r="A142" s="1" t="s">
        <v>11</v>
      </c>
      <c r="B142" s="1" t="s">
        <v>97</v>
      </c>
      <c r="C142" s="1" t="s">
        <v>113</v>
      </c>
      <c r="D142" s="1"/>
      <c r="E142" s="1" t="s">
        <v>114</v>
      </c>
      <c r="F142" s="1" t="str">
        <f>A142&amp;B142&amp;C142&amp;E142</f>
        <v>FFG共通工数中間中間アーカイブ対応</v>
      </c>
      <c r="G142" s="1">
        <v>24</v>
      </c>
      <c r="H142" s="1"/>
      <c r="I142">
        <f t="shared" si="2"/>
        <v>24</v>
      </c>
      <c r="L142" s="1"/>
    </row>
    <row r="143" spans="1:12">
      <c r="A143" s="1" t="s">
        <v>11</v>
      </c>
      <c r="B143" s="1" t="s">
        <v>97</v>
      </c>
      <c r="C143" s="1" t="s">
        <v>15</v>
      </c>
      <c r="D143" s="1"/>
      <c r="E143" s="1" t="s">
        <v>112</v>
      </c>
      <c r="F143" s="1" t="str">
        <f>A143&amp;B143&amp;C143&amp;E143</f>
        <v>FFG共通工数TOCレビュワー工数</v>
      </c>
      <c r="G143" s="1">
        <v>32</v>
      </c>
      <c r="H143" s="1"/>
      <c r="I143">
        <f t="shared" si="2"/>
        <v>32</v>
      </c>
      <c r="L143" s="1"/>
    </row>
    <row r="144" spans="1:12">
      <c r="A144" s="1" t="s">
        <v>11</v>
      </c>
      <c r="B144" s="1" t="s">
        <v>97</v>
      </c>
      <c r="C144" s="1" t="s">
        <v>15</v>
      </c>
      <c r="D144" s="1"/>
      <c r="E144" s="1" t="s">
        <v>110</v>
      </c>
      <c r="F144" s="1" t="str">
        <f>A144&amp;B144&amp;C144&amp;E144</f>
        <v>FFG共通工数TOCクライアント調整</v>
      </c>
      <c r="G144" s="1">
        <v>2</v>
      </c>
      <c r="H144" s="1"/>
      <c r="I144">
        <f t="shared" si="2"/>
        <v>2</v>
      </c>
      <c r="L144" s="1"/>
    </row>
    <row r="145" spans="1:12">
      <c r="A145" s="1" t="s">
        <v>11</v>
      </c>
      <c r="B145" s="1" t="s">
        <v>97</v>
      </c>
      <c r="C145" s="1" t="s">
        <v>16</v>
      </c>
      <c r="D145" s="1"/>
      <c r="E145" s="1" t="s">
        <v>112</v>
      </c>
      <c r="F145" s="1" t="str">
        <f>A145&amp;B145&amp;C145&amp;E145</f>
        <v>FFG共通工数RFレビュワー工数</v>
      </c>
      <c r="G145" s="1">
        <v>16</v>
      </c>
      <c r="H145" s="1"/>
      <c r="I145">
        <f t="shared" si="2"/>
        <v>16</v>
      </c>
      <c r="L145" s="1"/>
    </row>
    <row r="146" spans="1:12">
      <c r="A146" s="1" t="s">
        <v>11</v>
      </c>
      <c r="B146" s="1" t="s">
        <v>97</v>
      </c>
      <c r="C146" s="1" t="s">
        <v>16</v>
      </c>
      <c r="D146" s="1"/>
      <c r="E146" s="1" t="s">
        <v>110</v>
      </c>
      <c r="F146" s="1" t="str">
        <f>A146&amp;B146&amp;C146&amp;E146</f>
        <v>FFG共通工数RFクライアント調整</v>
      </c>
      <c r="G146" s="1">
        <v>2</v>
      </c>
      <c r="H146" s="1"/>
      <c r="I146">
        <f t="shared" si="2"/>
        <v>2</v>
      </c>
      <c r="L146" s="1"/>
    </row>
    <row r="147" spans="1:12">
      <c r="A147" s="1" t="s">
        <v>11</v>
      </c>
      <c r="B147" s="1" t="s">
        <v>97</v>
      </c>
      <c r="C147" s="1" t="s">
        <v>115</v>
      </c>
      <c r="D147" s="1"/>
      <c r="E147" s="1" t="s">
        <v>116</v>
      </c>
      <c r="F147" s="1" t="str">
        <f>A147&amp;B147&amp;C147&amp;E147</f>
        <v>FFG共通工数期末期末EDAP会議資料</v>
      </c>
      <c r="G147" s="1">
        <v>1</v>
      </c>
      <c r="H147" s="1"/>
      <c r="I147">
        <f t="shared" si="2"/>
        <v>1</v>
      </c>
      <c r="L147" s="1"/>
    </row>
    <row r="148" spans="1:12">
      <c r="A148" s="1" t="s">
        <v>11</v>
      </c>
      <c r="B148" s="1" t="s">
        <v>97</v>
      </c>
      <c r="C148" s="1" t="s">
        <v>115</v>
      </c>
      <c r="D148" s="1"/>
      <c r="E148" s="1" t="s">
        <v>117</v>
      </c>
      <c r="F148" s="1" t="str">
        <f>A148&amp;B148&amp;C148&amp;E148</f>
        <v>FFG共通工数期末EYJP330</v>
      </c>
      <c r="G148" s="1">
        <v>4</v>
      </c>
      <c r="H148" s="1"/>
      <c r="I148">
        <f t="shared" si="2"/>
        <v>4</v>
      </c>
      <c r="L148" s="1"/>
    </row>
    <row r="149" spans="1:12">
      <c r="A149" s="1" t="s">
        <v>11</v>
      </c>
      <c r="B149" s="1" t="s">
        <v>97</v>
      </c>
      <c r="C149" s="1" t="s">
        <v>115</v>
      </c>
      <c r="D149" s="1"/>
      <c r="E149" s="1" t="s">
        <v>118</v>
      </c>
      <c r="F149" s="1" t="str">
        <f>A149&amp;B149&amp;C149&amp;E149</f>
        <v>FFG共通工数期末EYJP250</v>
      </c>
      <c r="G149" s="1">
        <v>4</v>
      </c>
      <c r="H149" s="1"/>
      <c r="I149">
        <f t="shared" si="2"/>
        <v>4</v>
      </c>
      <c r="L149" s="1"/>
    </row>
    <row r="150" spans="1:12">
      <c r="A150" s="1" t="s">
        <v>11</v>
      </c>
      <c r="B150" s="1" t="s">
        <v>97</v>
      </c>
      <c r="C150" s="1" t="s">
        <v>115</v>
      </c>
      <c r="D150" s="1"/>
      <c r="E150" s="1" t="s">
        <v>119</v>
      </c>
      <c r="F150" s="1" t="str">
        <f>A150&amp;B150&amp;C150&amp;E150</f>
        <v>FFG共通工数期末IT評価フォーム</v>
      </c>
      <c r="G150" s="1">
        <v>2</v>
      </c>
      <c r="H150" s="1"/>
      <c r="I150">
        <f t="shared" si="2"/>
        <v>2</v>
      </c>
      <c r="L150" s="1"/>
    </row>
    <row r="151" spans="1:12">
      <c r="A151" s="1" t="s">
        <v>11</v>
      </c>
      <c r="B151" s="1" t="s">
        <v>97</v>
      </c>
      <c r="C151" s="1" t="s">
        <v>115</v>
      </c>
      <c r="D151" s="1"/>
      <c r="E151" s="1" t="s">
        <v>120</v>
      </c>
      <c r="F151" s="1" t="str">
        <f>A151&amp;B151&amp;C151&amp;E151</f>
        <v>FFG共通工数期末SOCD</v>
      </c>
      <c r="G151" s="1">
        <v>1</v>
      </c>
      <c r="H151" s="1"/>
      <c r="I151">
        <f t="shared" si="2"/>
        <v>1</v>
      </c>
      <c r="L151" s="1"/>
    </row>
    <row r="152" spans="1:12">
      <c r="A152" s="1" t="s">
        <v>11</v>
      </c>
      <c r="B152" s="1" t="s">
        <v>97</v>
      </c>
      <c r="C152" s="1" t="s">
        <v>115</v>
      </c>
      <c r="D152" s="1"/>
      <c r="E152" s="1" t="s">
        <v>121</v>
      </c>
      <c r="F152" s="1" t="str">
        <f>A152&amp;B152&amp;C152&amp;E152</f>
        <v>FFG共通工数期末期末Canvasクローズ</v>
      </c>
      <c r="G152" s="1">
        <v>24</v>
      </c>
      <c r="H152" s="1"/>
      <c r="I152">
        <f t="shared" si="2"/>
        <v>24</v>
      </c>
      <c r="L152" s="1"/>
    </row>
    <row r="153" spans="1:12">
      <c r="A153" s="1" t="s">
        <v>11</v>
      </c>
      <c r="B153" s="1" t="s">
        <v>97</v>
      </c>
      <c r="C153" s="1" t="s">
        <v>89</v>
      </c>
      <c r="D153" s="1"/>
      <c r="E153" s="1" t="s">
        <v>122</v>
      </c>
      <c r="F153" s="1" t="str">
        <f>A153&amp;B153&amp;C153&amp;E153</f>
        <v>FFG共通工数その他CIOディスカッション（ディスカッション資料・議事録）＊</v>
      </c>
      <c r="G153" s="1">
        <v>8</v>
      </c>
      <c r="H153" s="1"/>
      <c r="I153">
        <f t="shared" si="2"/>
        <v>8</v>
      </c>
      <c r="L153" s="1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old1前年変更タスク一覧</vt:lpstr>
      <vt:lpstr>全タスク集計</vt:lpstr>
      <vt:lpstr>前期差分集計</vt:lpstr>
      <vt:lpstr>月別集計</vt:lpstr>
      <vt:lpstr>個人別集計</vt:lpstr>
      <vt:lpstr>前年変更タスク(lambda)</vt:lpstr>
      <vt:lpstr>担当分担表集計</vt:lpstr>
      <vt:lpstr>FY27工数</vt:lpstr>
      <vt:lpstr>FY26工数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一繁 葛城</dc:creator>
  <cp:lastModifiedBy>一繁 葛城</cp:lastModifiedBy>
  <dcterms:created xsi:type="dcterms:W3CDTF">2026-02-28T05:21:27Z</dcterms:created>
  <dcterms:modified xsi:type="dcterms:W3CDTF">2026-03-01T15:46:32Z</dcterms:modified>
</cp:coreProperties>
</file>